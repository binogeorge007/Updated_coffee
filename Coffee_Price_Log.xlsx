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ice Log" sheetId="2" state="visible" r:id="rId4"/>
    <sheet name="Read 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<sst xmlns="http://schemas.openxmlformats.org/spreadsheetml/2006/main" count="171" uniqueCount="72">
  <si>
    <t xml:space="preserve">Landed Cost Assumptions (India -&gt; Australia)</t>
  </si>
  <si>
    <t xml:space="preserve">Edit the yellow cells below with your real freight/customs/margin numbers.</t>
  </si>
  <si>
    <t xml:space="preserve">Item</t>
  </si>
  <si>
    <t xml:space="preserve">Value</t>
  </si>
  <si>
    <t xml:space="preserve">Note</t>
  </si>
  <si>
    <t xml:space="preserve">Freight (AUD/kg)</t>
  </si>
  <si>
    <t xml:space="preserve">Placeholder - update with your actual freight quote</t>
  </si>
  <si>
    <t xml:space="preserve">Customs &amp; Clearance (% of value)</t>
  </si>
  <si>
    <t xml:space="preserve">Placeholder - update with your actual customs/duty rate</t>
  </si>
  <si>
    <t xml:space="preserve">Warehouse (AUD/kg)</t>
  </si>
  <si>
    <t xml:space="preserve">Placeholder - update with your actual warehousing cost</t>
  </si>
  <si>
    <t xml:space="preserve">Delivery (AUD/kg)</t>
  </si>
  <si>
    <t xml:space="preserve">Placeholder - update with your local delivery cost</t>
  </si>
  <si>
    <t xml:space="preserve">Desired Margin (% of landed cost)</t>
  </si>
  <si>
    <t xml:space="preserve">Placeholder - update with your target margin</t>
  </si>
  <si>
    <t xml:space="preserve">Date</t>
  </si>
  <si>
    <t xml:space="preserve">Variety</t>
  </si>
  <si>
    <t xml:space="preserve">Grade/Type</t>
  </si>
  <si>
    <t xml:space="preserve">Karnataka Price Low (Rs/50kg)</t>
  </si>
  <si>
    <t xml:space="preserve">Karnataka Price High (Rs/50kg)</t>
  </si>
  <si>
    <t xml:space="preserve">Change vs prior</t>
  </si>
  <si>
    <t xml:space="preserve">Source</t>
  </si>
  <si>
    <t xml:space="preserve">ICE Futures Price</t>
  </si>
  <si>
    <t xml:space="preserve">ICE Futures Unit</t>
  </si>
  <si>
    <t xml:space="preserve">AUD/INR</t>
  </si>
  <si>
    <t xml:space="preserve">USD/INR</t>
  </si>
  <si>
    <t xml:space="preserve">Est. AU Landed Cost (AUD/kg, milled-equivalent basis)</t>
  </si>
  <si>
    <t xml:space="preserve">AU Wholesale Quote - Sydney (AUD/kg, manual)</t>
  </si>
  <si>
    <t xml:space="preserve">AU Wholesale Quote - Newcastle (AUD/kg, manual)</t>
  </si>
  <si>
    <t xml:space="preserve">Bean Origin (manual, e.g. Indian/Brazilian)</t>
  </si>
  <si>
    <t xml:space="preserve">Notes</t>
  </si>
  <si>
    <t xml:space="preserve">Mid Price (Rs/50kg)</t>
  </si>
  <si>
    <t xml:space="preserve">Weeks Tracked</t>
  </si>
  <si>
    <t xml:space="preserve">Tracked High (Rs/50kg)</t>
  </si>
  <si>
    <t xml:space="preserve">Tracked Low (Rs/50kg)</t>
  </si>
  <si>
    <t xml:space="preserve">Range Status</t>
  </si>
  <si>
    <t xml:space="preserve">Price (USD/kg)</t>
  </si>
  <si>
    <t xml:space="preserve">Global Benchmark (USD/kg)</t>
  </si>
  <si>
    <t xml:space="preserve">3/6-Month Flag</t>
  </si>
  <si>
    <t xml:space="preserve">Milled/Clean Equivalent (USD/kg)</t>
  </si>
  <si>
    <t xml:space="preserve">Outturn % Used</t>
  </si>
  <si>
    <t xml:space="preserve">Market Grade Name (Indian trade terminology)</t>
  </si>
  <si>
    <t xml:space="preserve">Arabica</t>
  </si>
  <si>
    <t xml:space="preserve">Parchment (AP)</t>
  </si>
  <si>
    <t xml:space="preserve">See notes</t>
  </si>
  <si>
    <t xml:space="preserve">Kirehalli (Sakleshpur/Chikmagalur)</t>
  </si>
  <si>
    <t xml:space="preserve">US cents/lb (ICE Arabica)</t>
  </si>
  <si>
    <t xml:space="preserve">+Rs 700 AP / +Rs 50 RP</t>
  </si>
  <si>
    <t xml:space="preserve">Cherry (AC)</t>
  </si>
  <si>
    <t xml:space="preserve">ICE Jul contract; ICE Robusta $3685/t</t>
  </si>
  <si>
    <t xml:space="preserve">Robusta</t>
  </si>
  <si>
    <t xml:space="preserve">Parchment (RP)</t>
  </si>
  <si>
    <t xml:space="preserve">USD/tonne (ICE Robusta)</t>
  </si>
  <si>
    <t xml:space="preserve">Cherry (RC)</t>
  </si>
  <si>
    <t xml:space="preserve">+Rs 50 AP, rest flat</t>
  </si>
  <si>
    <t xml:space="preserve">6-week high per Kirehalli; contract rolled to Sep Arabica</t>
  </si>
  <si>
    <t xml:space="preserve">+Rs 400 AP, +Rs 100 RC</t>
  </si>
  <si>
    <t xml:space="preserve">4.75-month high per Kirehalli market report</t>
  </si>
  <si>
    <t xml:space="preserve">No change</t>
  </si>
  <si>
    <t xml:space="preserve">1-wk low, off 5.5-mo high (Arabica)</t>
  </si>
  <si>
    <t xml:space="preserve">+Rs 200 RP, +Rs 100 RC</t>
  </si>
  <si>
    <t xml:space="preserve">How this workbook works</t>
  </si>
  <si>
    <t xml:space="preserve">Price Log tab: one row per variety/grade per day, appended automatically each morning.</t>
  </si>
  <si>
    <t xml:space="preserve">Tracked High / Tracked Low / Range Status (columns S-U): these are computed from YOUR OWN logged history,</t>
  </si>
  <si>
    <t xml:space="preserve">not a third-party 52-week index. On day 1 there is no range yet - it will read 'Day 1 - building history'.</t>
  </si>
  <si>
    <t xml:space="preserve">As days accumulate it becomes a genuine N-week high/low (e.g. '6-wk high'), and once ~52 weeks of daily</t>
  </si>
  <si>
    <t xml:space="preserve">entries exist, it functions as a real 52-week high/low for that grade.</t>
  </si>
  <si>
    <t xml:space="preserve">Yellow cells are for YOU to fill in:</t>
  </si>
  <si>
    <t xml:space="preserve">  - Assumptions tab: your real freight, customs, warehouse, delivery and margin numbers</t>
  </si>
  <si>
    <t xml:space="preserve">  - Price Log columns M/N/O: no public wholesale index exists for Sydney/Newcastle green beans by origin.</t>
  </si>
  <si>
    <t xml:space="preserve">    Log real quotes after calling suppliers (e.g. Mercanta, InterAmerican Coffee, Genovese Coffee, Complete Coffee).</t>
  </si>
  <si>
    <t xml:space="preserve">Est. AU Landed Cost is a CALCULATED ESTIMATE, not a real quote.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</si>
</sst>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55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v>0.55</v>
      </c>
      <c r="C5" s="7" t="s">
        <v>6</v>
      </c>
    </row>
    <row r="6" customFormat="false" ht="15" hidden="false" customHeight="true" outlineLevel="0" collapsed="false">
      <c r="A6" s="5" t="s">
        <v>7</v>
      </c>
      <c r="B6" s="6" t="n">
        <v>0.05</v>
      </c>
      <c r="C6" s="7" t="s">
        <v>8</v>
      </c>
    </row>
    <row r="7" customFormat="false" ht="15" hidden="false" customHeight="true" outlineLevel="0" collapsed="false">
      <c r="A7" s="5" t="s">
        <v>9</v>
      </c>
      <c r="B7" s="6" t="n">
        <v>0.15</v>
      </c>
      <c r="C7" s="7" t="s">
        <v>10</v>
      </c>
    </row>
    <row r="8" customFormat="false" ht="15" hidden="false" customHeight="true" outlineLevel="0" collapsed="false">
      <c r="A8" s="5" t="s">
        <v>11</v>
      </c>
      <c r="B8" s="6" t="n">
        <v>0.1</v>
      </c>
      <c r="C8" s="7" t="s">
        <v>12</v>
      </c>
    </row>
    <row r="9" customFormat="false" ht="15" hidden="false" customHeight="true" outlineLevel="0" collapsed="false">
      <c r="A9" s="5" t="s">
        <v>13</v>
      </c>
      <c r="B9" s="6" t="n">
        <v>0.12</v>
      </c>
      <c r="C9" s="7" t="s">
        <v>14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1" min="10" style="1" width="9"/>
    <col collapsed="false" customWidth="true" hidden="false" outlineLevel="0" max="12" min="12" style="1" width="24"/>
    <col collapsed="false" customWidth="true" hidden="false" outlineLevel="0" max="13" min="13" style="1" width="18"/>
    <col collapsed="false" customWidth="true" hidden="false" outlineLevel="0" max="14" min="14" style="1" width="20"/>
    <col collapsed="false" customWidth="true" hidden="false" outlineLevel="0" max="15" min="15" style="1" width="22"/>
    <col collapsed="false" customWidth="true" hidden="false" outlineLevel="0" max="16" min="16" style="1" width="26"/>
    <col collapsed="false" customWidth="true" hidden="false" outlineLevel="0" max="17" min="17" style="1" width="12"/>
    <col collapsed="false" customWidth="true" hidden="false" outlineLevel="0" max="18" min="18" style="1" width="10"/>
    <col collapsed="false" customWidth="true" hidden="false" outlineLevel="0" max="20" min="19" style="1" width="13"/>
    <col collapsed="false" customWidth="true" hidden="false" outlineLevel="0" max="21" min="21" style="1" width="26"/>
    <col collapsed="false" customWidth="true" hidden="false" outlineLevel="0" max="22" min="22" style="1" width="14"/>
    <col collapsed="false" customWidth="true" hidden="false" outlineLevel="0" max="23" min="23" style="1" width="18"/>
    <col collapsed="false" customWidth="true" hidden="false" outlineLevel="0" max="24" min="24" style="1" width="30"/>
    <col collapsed="false" customWidth="true" hidden="false" outlineLevel="0" max="25" min="25" style="1" width="26"/>
    <col collapsed="false" customWidth="true" hidden="false" outlineLevel="0" max="26" min="26" style="1" width="14"/>
    <col collapsed="false" customWidth="true" hidden="false" outlineLevel="0" max="27" min="27" style="0" width="32"/>
  </cols>
  <sheetData>
    <row r="1" customFormat="false" ht="39" hidden="false" customHeight="true" outlineLevel="0" collapsed="false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  <c r="U1" s="8" t="s">
        <v>35</v>
      </c>
      <c r="V1" s="8" t="s">
        <v>36</v>
      </c>
      <c r="W1" s="8" t="s">
        <v>37</v>
      </c>
      <c r="X1" s="8" t="s">
        <v>38</v>
      </c>
      <c r="Y1" s="8" t="s">
        <v>39</v>
      </c>
      <c r="Z1" s="8" t="s">
        <v>40</v>
      </c>
      <c r="AA1" s="8" t="s">
        <v>41</v>
      </c>
    </row>
    <row r="2" customFormat="false" ht="15" hidden="false" customHeight="true" outlineLevel="0" collapsed="false">
      <c r="A2" s="9" t="n">
        <v>46191</v>
      </c>
      <c r="B2" s="5" t="s">
        <v>42</v>
      </c>
      <c r="C2" s="5" t="s">
        <v>43</v>
      </c>
      <c r="D2" s="10" t="n">
        <v>22800</v>
      </c>
      <c r="E2" s="10" t="n">
        <v>23300</v>
      </c>
      <c r="F2" s="5" t="s">
        <v>44</v>
      </c>
      <c r="G2" s="5" t="s">
        <v>45</v>
      </c>
      <c r="H2" s="10" t="n">
        <v>275.1</v>
      </c>
      <c r="I2" s="5" t="s">
        <v>46</v>
      </c>
      <c r="J2" s="10" t="n">
        <v>67.4743</v>
      </c>
      <c r="K2" s="10" t="n">
        <v>96.6461</v>
      </c>
      <c r="L2" s="5" t="n">
        <f aca="false">((AVERAGE(D2:E2)/50/J2)/(IF(B2="Arabica",IF(ISNUMBER(SEARCH("Parchment",C2)),0.8,0.48),IF(ISNUMBER(SEARCH("Parchment",C2)),0.82,0.5))))*(1+Assumptions!$B$6)+Assumptions!$B$5+Assumptions!$B$7+Assumptions!$B$8+((AVERAGE(D2:E2)/50/J2)/(IF(B2="Arabica",IF(ISNUMBER(SEARCH("Parchment",C2)),0.8,0.48),IF(ISNUMBER(SEARCH("Parchment",C2)),0.82,0.5))))*Assumptions!$B$9</f>
        <v>10.7921377472608</v>
      </c>
      <c r="M2" s="11"/>
      <c r="N2" s="11"/>
      <c r="O2" s="11"/>
      <c r="P2" s="7" t="s">
        <v>47</v>
      </c>
      <c r="Q2" s="5" t="n">
        <f aca="false">AVERAGE(D2:E2)</f>
        <v>23050</v>
      </c>
      <c r="R2" s="12" t="n">
        <f aca="false">(A2-_xlfn.MINIFS($A$2:A2,$B$2:B2,B2,$C$2:C2,C2))/7</f>
        <v>0</v>
      </c>
      <c r="S2" s="5" t="n">
        <f aca="false">_xlfn.MAXIFS($Q$2:Q2,$B$2:B2,B2,$C$2:C2,C2)</f>
        <v>23050</v>
      </c>
      <c r="T2" s="5" t="n">
        <f aca="false">_xlfn.MINIFS($Q$2:Q2,$B$2:B2,B2,$C$2:C2,C2)</f>
        <v>23050</v>
      </c>
      <c r="U2" s="5" t="str">
        <f aca="false">IF(R2&lt;1,"Day 1 - building history",IF(Q2&gt;=S2,TEXT(ROUND(R2,0),"0")&amp;"-wk high (since tracking began)",IF(Q2&lt;=T2,TEXT(ROUND(R2,0),"0")&amp;"-wk low (since tracking began)",TEXT(ROUND(R2,0),"0")&amp;"-wk range, mid-range")))</f>
        <v>Day 1 - building history</v>
      </c>
      <c r="V2" s="5" t="n">
        <f aca="false">Q2/50/K2</f>
        <v>4.76998037168598</v>
      </c>
      <c r="W2" s="5" t="n">
        <f aca="false">IF(B2="Arabica",H2/100/0.45359237,H2/1000)</f>
        <v>6.06491683270598</v>
      </c>
      <c r="X2" s="5" t="str">
        <f aca="false">IF(AND((A2-_xlfn.MINIFS($A$2:A2,$B$2:B2,B2,$C$2:C2,C2))&gt;=180,Q2&lt;=_xlfn.MINIFS($Q$2:Q2,$B$2:B2,B2,$C$2:C2,C2,$A$2:A2,"&gt;="&amp;(A2-180))),"6-MONTH LOW - historically cheap, safer to buy",IF(AND((A2-_xlfn.MINIFS($A$2:A2,$B$2:B2,B2,$C$2:C2,C2))&gt;=180,Q2&gt;=_xlfn.MAXIFS($Q$2:Q2,$B$2:B2,B2,$C$2:C2,C2,$A$2:A2,"&gt;="&amp;(A2-180))),"6-MONTH HIGH - historically expensive, riskier to buy",IF(AND((A2-_xlfn.MINIFS($A$2:A2,$B$2:B2,B2,$C$2:C2,C2))&gt;=90,Q2&lt;=_xlfn.MINIFS($Q$2:Q2,$B$2:B2,B2,$C$2:C2,C2,$A$2:A2,"&gt;="&amp;(A2-90))),"3-MONTH LOW - historically cheap, safer to buy",IF(AND((A2-_xlfn.MINIFS($A$2:A2,$B$2:B2,B2,$C$2:C2,C2))&gt;=90,Q2&gt;=_xlfn.MAXIFS($Q$2:Q2,$B$2:B2,B2,$C$2:C2,C2,$A$2:A2,"&gt;="&amp;(A2-90))),"3-MONTH HIGH - historically expensive, riskier to buy",IF((A2-_xlfn.MINIFS($A$2:A2,$B$2:B2,B2,$C$2:C2,C2))&gt;=90,"within 3/6-month range","N/A - insufficient history yet (need 90+ days)")))))</f>
        <v>N/A - insufficient history yet (need 90+ days)</v>
      </c>
      <c r="Y2" s="5" t="n">
        <f aca="false">V2/IF(B2="Arabica",IF(ISNUMBER(SEARCH("Parchment",C2)),0.8,0.48),IF(ISNUMBER(SEARCH("Parchment",C2)),0.82,0.5))</f>
        <v>5.96247546460747</v>
      </c>
      <c r="Z2" s="5" t="str">
        <f aca="false">IF(B2="Arabica",IF(ISNUMBER(SEARCH("Parchment",C2)),"80%","48%"),IF(ISNUMBER(SEARCH("Parchment",C2)),"82%","50%"))</f>
        <v>80%</v>
      </c>
      <c r="AA2" s="13" t="str">
        <f aca="false">IF(B2="Arabica",IF(ISNUMBER(SEARCH("Parchment",C2)),"Arabica Plantation (estimated milled)","Arabica Cherry (estimated milled)"),IF(ISNUMBER(SEARCH("Parchment",C2)),"Robusta Parchment (estimated milled)","Robusta Cherry (estimated milled)"))</f>
        <v>Arabica Plantation (estimated milled)</v>
      </c>
    </row>
    <row r="3" customFormat="false" ht="15" hidden="false" customHeight="true" outlineLevel="0" collapsed="false">
      <c r="A3" s="9" t="n">
        <v>46191</v>
      </c>
      <c r="B3" s="5" t="s">
        <v>42</v>
      </c>
      <c r="C3" s="5" t="s">
        <v>48</v>
      </c>
      <c r="D3" s="10" t="n">
        <v>12750</v>
      </c>
      <c r="E3" s="10" t="n">
        <v>14250</v>
      </c>
      <c r="F3" s="5" t="s">
        <v>44</v>
      </c>
      <c r="G3" s="5" t="s">
        <v>45</v>
      </c>
      <c r="H3" s="10" t="n">
        <v>275.1</v>
      </c>
      <c r="I3" s="5" t="s">
        <v>46</v>
      </c>
      <c r="J3" s="10" t="n">
        <v>67.4743</v>
      </c>
      <c r="K3" s="10" t="n">
        <v>96.6461</v>
      </c>
      <c r="L3" s="5" t="n">
        <f aca="false">((AVERAGE(D3:E3)/50/J3)/(IF(B3="Arabica",IF(ISNUMBER(SEARCH("Parchment",C3)),0.8,0.48),IF(ISNUMBER(SEARCH("Parchment",C3)),0.82,0.5))))*(1+Assumptions!$B$6)+Assumptions!$B$5+Assumptions!$B$7+Assumptions!$B$8+((AVERAGE(D3:E3)/50/J3)/(IF(B3="Arabica",IF(ISNUMBER(SEARCH("Parchment",C3)),0.8,0.48),IF(ISNUMBER(SEARCH("Parchment",C3)),0.82,0.5))))*Assumptions!$B$9</f>
        <v>10.5537136361548</v>
      </c>
      <c r="M3" s="11"/>
      <c r="N3" s="11"/>
      <c r="O3" s="11"/>
      <c r="P3" s="7" t="s">
        <v>49</v>
      </c>
      <c r="Q3" s="5" t="n">
        <f aca="false">AVERAGE(D3:E3)</f>
        <v>13500</v>
      </c>
      <c r="R3" s="12" t="n">
        <f aca="false">(A3-_xlfn.MINIFS($A$2:A3,$B$2:B3,B3,$C$2:C3,C3))/7</f>
        <v>0</v>
      </c>
      <c r="S3" s="5" t="n">
        <f aca="false">_xlfn.MAXIFS($Q$2:Q3,$B$2:B3,B3,$C$2:C3,C3)</f>
        <v>13500</v>
      </c>
      <c r="T3" s="5" t="n">
        <f aca="false">_xlfn.MINIFS($Q$2:Q3,$B$2:B3,B3,$C$2:C3,C3)</f>
        <v>13500</v>
      </c>
      <c r="U3" s="5" t="str">
        <f aca="false">IF(R3&lt;1,"Day 1 - building history",IF(Q3&gt;=S3,TEXT(ROUND(R3,0),"0")&amp;"-wk high (since tracking began)",IF(Q3&lt;=T3,TEXT(ROUND(R3,0),"0")&amp;"-wk low (since tracking began)",TEXT(ROUND(R3,0),"0")&amp;"-wk range, mid-range")))</f>
        <v>Day 1 - building history</v>
      </c>
      <c r="V3" s="5" t="n">
        <f aca="false">Q3/50/K3</f>
        <v>2.79369783157313</v>
      </c>
      <c r="W3" s="5" t="n">
        <f aca="false">IF(B3="Arabica",H3/100/0.45359237,H3/1000)</f>
        <v>6.06491683270598</v>
      </c>
      <c r="X3" s="5" t="str">
        <f aca="false">IF(AND((A3-_xlfn.MINIFS($A$2:A3,$B$2:B3,B3,$C$2:C3,C3))&gt;=180,Q3&lt;=_xlfn.MINIFS($Q$2:Q3,$B$2:B3,B3,$C$2:C3,C3,$A$2:A3,"&gt;="&amp;(A3-180))),"6-MONTH LOW - historically cheap, safer to buy",IF(AND((A3-_xlfn.MINIFS($A$2:A3,$B$2:B3,B3,$C$2:C3,C3))&gt;=180,Q3&gt;=_xlfn.MAXIFS($Q$2:Q3,$B$2:B3,B3,$C$2:C3,C3,$A$2:A3,"&gt;="&amp;(A3-180))),"6-MONTH HIGH - historically expensive, riskier to buy",IF(AND((A3-_xlfn.MINIFS($A$2:A3,$B$2:B3,B3,$C$2:C3,C3))&gt;=90,Q3&lt;=_xlfn.MINIFS($Q$2:Q3,$B$2:B3,B3,$C$2:C3,C3,$A$2:A3,"&gt;="&amp;(A3-90))),"3-MONTH LOW - historically cheap, safer to buy",IF(AND((A3-_xlfn.MINIFS($A$2:A3,$B$2:B3,B3,$C$2:C3,C3))&gt;=90,Q3&gt;=_xlfn.MAXIFS($Q$2:Q3,$B$2:B3,B3,$C$2:C3,C3,$A$2:A3,"&gt;="&amp;(A3-90))),"3-MONTH HIGH - historically expensive, riskier to buy",IF((A3-_xlfn.MINIFS($A$2:A3,$B$2:B3,B3,$C$2:C3,C3))&gt;=90,"within 3/6-month range","N/A - insufficient history yet (need 90+ days)")))))</f>
        <v>N/A - insufficient history yet (need 90+ days)</v>
      </c>
      <c r="Y3" s="5" t="n">
        <f aca="false">V3/IF(B3="Arabica",IF(ISNUMBER(SEARCH("Parchment",C3)),0.8,0.48),IF(ISNUMBER(SEARCH("Parchment",C3)),0.82,0.5))</f>
        <v>5.82020381577736</v>
      </c>
      <c r="Z3" s="5" t="str">
        <f aca="false">IF(B3="Arabica",IF(ISNUMBER(SEARCH("Parchment",C3)),"80%","48%"),IF(ISNUMBER(SEARCH("Parchment",C3)),"82%","50%"))</f>
        <v>48%</v>
      </c>
      <c r="AA3" s="13" t="str">
        <f aca="false">IF(B3="Arabica",IF(ISNUMBER(SEARCH("Parchment",C3)),"Arabica Plantation (estimated milled)","Arabica Cherry (estimated milled)"),IF(ISNUMBER(SEARCH("Parchment",C3)),"Robusta Parchment (estimated milled)","Robusta Cherry (estimated milled)"))</f>
        <v>Arabica Cherry (estimated milled)</v>
      </c>
    </row>
    <row r="4" customFormat="false" ht="15" hidden="false" customHeight="true" outlineLevel="0" collapsed="false">
      <c r="A4" s="9" t="n">
        <v>46191</v>
      </c>
      <c r="B4" s="5" t="s">
        <v>50</v>
      </c>
      <c r="C4" s="5" t="s">
        <v>51</v>
      </c>
      <c r="D4" s="10" t="n">
        <v>17700</v>
      </c>
      <c r="E4" s="10" t="n">
        <v>18300</v>
      </c>
      <c r="F4" s="5" t="s">
        <v>44</v>
      </c>
      <c r="G4" s="5" t="s">
        <v>45</v>
      </c>
      <c r="H4" s="10" t="n">
        <v>3685</v>
      </c>
      <c r="I4" s="5" t="s">
        <v>52</v>
      </c>
      <c r="J4" s="10" t="n">
        <v>67.4743</v>
      </c>
      <c r="K4" s="10" t="n">
        <v>96.6461</v>
      </c>
      <c r="L4" s="5" t="n">
        <f aca="false">((AVERAGE(D4:E4)/50/J4)/(IF(B4="Arabica",IF(ISNUMBER(SEARCH("Parchment",C4)),0.8,0.48),IF(ISNUMBER(SEARCH("Parchment",C4)),0.82,0.5))))*(1+Assumptions!$B$6)+Assumptions!$B$5+Assumptions!$B$7+Assumptions!$B$8+((AVERAGE(D4:E4)/50/J4)/(IF(B4="Arabica",IF(ISNUMBER(SEARCH("Parchment",C4)),0.8,0.48),IF(ISNUMBER(SEARCH("Parchment",C4)),0.82,0.5))))*Assumptions!$B$9</f>
        <v>8.41265454529155</v>
      </c>
      <c r="M4" s="11"/>
      <c r="N4" s="11"/>
      <c r="O4" s="11"/>
      <c r="P4" s="7" t="s">
        <v>47</v>
      </c>
      <c r="Q4" s="5" t="n">
        <f aca="false">AVERAGE(D4:E4)</f>
        <v>18000</v>
      </c>
      <c r="R4" s="12" t="n">
        <f aca="false">(A4-_xlfn.MINIFS($A$2:A4,$B$2:B4,B4,$C$2:C4,C4))/7</f>
        <v>0</v>
      </c>
      <c r="S4" s="5" t="n">
        <f aca="false">_xlfn.MAXIFS($Q$2:Q4,$B$2:B4,B4,$C$2:C4,C4)</f>
        <v>18000</v>
      </c>
      <c r="T4" s="5" t="n">
        <f aca="false">_xlfn.MINIFS($Q$2:Q4,$B$2:B4,B4,$C$2:C4,C4)</f>
        <v>18000</v>
      </c>
      <c r="U4" s="5" t="str">
        <f aca="false">IF(R4&lt;1,"Day 1 - building history",IF(Q4&gt;=S4,TEXT(ROUND(R4,0),"0")&amp;"-wk high (since tracking began)",IF(Q4&lt;=T4,TEXT(ROUND(R4,0),"0")&amp;"-wk low (since tracking began)",TEXT(ROUND(R4,0),"0")&amp;"-wk range, mid-range")))</f>
        <v>Day 1 - building history</v>
      </c>
      <c r="V4" s="5" t="n">
        <f aca="false">Q4/50/K4</f>
        <v>3.72493044209751</v>
      </c>
      <c r="W4" s="5" t="n">
        <f aca="false">IF(B4="Arabica",H4/100/0.45359237,H4/1000)</f>
        <v>3.685</v>
      </c>
      <c r="X4" s="5" t="str">
        <f aca="false">IF(AND((A4-_xlfn.MINIFS($A$2:A4,$B$2:B4,B4,$C$2:C4,C4))&gt;=180,Q4&lt;=_xlfn.MINIFS($Q$2:Q4,$B$2:B4,B4,$C$2:C4,C4,$A$2:A4,"&gt;="&amp;(A4-180))),"6-MONTH LOW - historically cheap, safer to buy",IF(AND((A4-_xlfn.MINIFS($A$2:A4,$B$2:B4,B4,$C$2:C4,C4))&gt;=180,Q4&gt;=_xlfn.MAXIFS($Q$2:Q4,$B$2:B4,B4,$C$2:C4,C4,$A$2:A4,"&gt;="&amp;(A4-180))),"6-MONTH HIGH - historically expensive, riskier to buy",IF(AND((A4-_xlfn.MINIFS($A$2:A4,$B$2:B4,B4,$C$2:C4,C4))&gt;=90,Q4&lt;=_xlfn.MINIFS($Q$2:Q4,$B$2:B4,B4,$C$2:C4,C4,$A$2:A4,"&gt;="&amp;(A4-90))),"3-MONTH LOW - historically cheap, safer to buy",IF(AND((A4-_xlfn.MINIFS($A$2:A4,$B$2:B4,B4,$C$2:C4,C4))&gt;=90,Q4&gt;=_xlfn.MAXIFS($Q$2:Q4,$B$2:B4,B4,$C$2:C4,C4,$A$2:A4,"&gt;="&amp;(A4-90))),"3-MONTH HIGH - historically expensive, riskier to buy",IF((A4-_xlfn.MINIFS($A$2:A4,$B$2:B4,B4,$C$2:C4,C4))&gt;=90,"within 3/6-month range","N/A - insufficient history yet (need 90+ days)")))))</f>
        <v>N/A - insufficient history yet (need 90+ days)</v>
      </c>
      <c r="Y4" s="5" t="n">
        <f aca="false">V4/IF(B4="Arabica",IF(ISNUMBER(SEARCH("Parchment",C4)),0.8,0.48),IF(ISNUMBER(SEARCH("Parchment",C4)),0.82,0.5))</f>
        <v>4.54259810011891</v>
      </c>
      <c r="Z4" s="5" t="str">
        <f aca="false">IF(B4="Arabica",IF(ISNUMBER(SEARCH("Parchment",C4)),"80%","48%"),IF(ISNUMBER(SEARCH("Parchment",C4)),"82%","50%"))</f>
        <v>82%</v>
      </c>
      <c r="AA4" s="13" t="str">
        <f aca="false">IF(B4="Arabica",IF(ISNUMBER(SEARCH("Parchment",C4)),"Arabica Plantation (estimated milled)","Arabica Cherry (estimated milled)"),IF(ISNUMBER(SEARCH("Parchment",C4)),"Robusta Parchment (estimated milled)","Robusta Cherry (estimated milled)"))</f>
        <v>Robusta Parchment (estimated milled)</v>
      </c>
    </row>
    <row r="5" customFormat="false" ht="15" hidden="false" customHeight="true" outlineLevel="0" collapsed="false">
      <c r="A5" s="9" t="n">
        <v>46191</v>
      </c>
      <c r="B5" s="5" t="s">
        <v>50</v>
      </c>
      <c r="C5" s="5" t="s">
        <v>53</v>
      </c>
      <c r="D5" s="10" t="n">
        <v>9400</v>
      </c>
      <c r="E5" s="10" t="n">
        <v>10200</v>
      </c>
      <c r="F5" s="5" t="s">
        <v>44</v>
      </c>
      <c r="G5" s="5" t="s">
        <v>45</v>
      </c>
      <c r="H5" s="10" t="n">
        <v>3685</v>
      </c>
      <c r="I5" s="5" t="s">
        <v>52</v>
      </c>
      <c r="J5" s="10" t="n">
        <v>67.4743</v>
      </c>
      <c r="K5" s="10" t="n">
        <v>96.6461</v>
      </c>
      <c r="L5" s="5" t="n">
        <f aca="false">((AVERAGE(D5:E5)/50/J5)/(IF(B5="Arabica",IF(ISNUMBER(SEARCH("Parchment",C5)),0.8,0.48),IF(ISNUMBER(SEARCH("Parchment",C5)),0.82,0.5))))*(1+Assumptions!$B$6)+Assumptions!$B$5+Assumptions!$B$7+Assumptions!$B$8+((AVERAGE(D5:E5)/50/J5)/(IF(B5="Arabica",IF(ISNUMBER(SEARCH("Parchment",C5)),0.8,0.48),IF(ISNUMBER(SEARCH("Parchment",C5)),0.82,0.5))))*Assumptions!$B$9</f>
        <v>7.59725465844032</v>
      </c>
      <c r="M5" s="11"/>
      <c r="N5" s="11"/>
      <c r="O5" s="11"/>
      <c r="P5" s="7" t="s">
        <v>49</v>
      </c>
      <c r="Q5" s="5" t="n">
        <f aca="false">AVERAGE(D5:E5)</f>
        <v>9800</v>
      </c>
      <c r="R5" s="12" t="n">
        <f aca="false">(A5-_xlfn.MINIFS($A$2:A5,$B$2:B5,B5,$C$2:C5,C5))/7</f>
        <v>0</v>
      </c>
      <c r="S5" s="5" t="n">
        <f aca="false">_xlfn.MAXIFS($Q$2:Q5,$B$2:B5,B5,$C$2:C5,C5)</f>
        <v>9800</v>
      </c>
      <c r="T5" s="5" t="n">
        <f aca="false">_xlfn.MINIFS($Q$2:Q5,$B$2:B5,B5,$C$2:C5,C5)</f>
        <v>9800</v>
      </c>
      <c r="U5" s="5" t="str">
        <f aca="false">IF(R5&lt;1,"Day 1 - building history",IF(Q5&gt;=S5,TEXT(ROUND(R5,0),"0")&amp;"-wk high (since tracking began)",IF(Q5&lt;=T5,TEXT(ROUND(R5,0),"0")&amp;"-wk low (since tracking began)",TEXT(ROUND(R5,0),"0")&amp;"-wk range, mid-range")))</f>
        <v>Day 1 - building history</v>
      </c>
      <c r="V5" s="5" t="n">
        <f aca="false">Q5/50/K5</f>
        <v>2.02801768514198</v>
      </c>
      <c r="W5" s="5" t="n">
        <f aca="false">IF(B5="Arabica",H5/100/0.45359237,H5/1000)</f>
        <v>3.685</v>
      </c>
      <c r="X5" s="5" t="str">
        <f aca="false">IF(AND((A5-_xlfn.MINIFS($A$2:A5,$B$2:B5,B5,$C$2:C5,C5))&gt;=180,Q5&lt;=_xlfn.MINIFS($Q$2:Q5,$B$2:B5,B5,$C$2:C5,C5,$A$2:A5,"&gt;="&amp;(A5-180))),"6-MONTH LOW - historically cheap, safer to buy",IF(AND((A5-_xlfn.MINIFS($A$2:A5,$B$2:B5,B5,$C$2:C5,C5))&gt;=180,Q5&gt;=_xlfn.MAXIFS($Q$2:Q5,$B$2:B5,B5,$C$2:C5,C5,$A$2:A5,"&gt;="&amp;(A5-180))),"6-MONTH HIGH - historically expensive, riskier to buy",IF(AND((A5-_xlfn.MINIFS($A$2:A5,$B$2:B5,B5,$C$2:C5,C5))&gt;=90,Q5&lt;=_xlfn.MINIFS($Q$2:Q5,$B$2:B5,B5,$C$2:C5,C5,$A$2:A5,"&gt;="&amp;(A5-90))),"3-MONTH LOW - historically cheap, safer to buy",IF(AND((A5-_xlfn.MINIFS($A$2:A5,$B$2:B5,B5,$C$2:C5,C5))&gt;=90,Q5&gt;=_xlfn.MAXIFS($Q$2:Q5,$B$2:B5,B5,$C$2:C5,C5,$A$2:A5,"&gt;="&amp;(A5-90))),"3-MONTH HIGH - historically expensive, riskier to buy",IF((A5-_xlfn.MINIFS($A$2:A5,$B$2:B5,B5,$C$2:C5,C5))&gt;=90,"within 3/6-month range","N/A - insufficient history yet (need 90+ days)")))))</f>
        <v>N/A - insufficient history yet (need 90+ days)</v>
      </c>
      <c r="Y5" s="5" t="n">
        <f aca="false">V5/IF(B5="Arabica",IF(ISNUMBER(SEARCH("Parchment",C5)),0.8,0.48),IF(ISNUMBER(SEARCH("Parchment",C5)),0.82,0.5))</f>
        <v>4.05603537028395</v>
      </c>
      <c r="Z5" s="5" t="str">
        <f aca="false">IF(B5="Arabica",IF(ISNUMBER(SEARCH("Parchment",C5)),"80%","48%"),IF(ISNUMBER(SEARCH("Parchment",C5)),"82%","50%"))</f>
        <v>50%</v>
      </c>
      <c r="AA5" s="13" t="str">
        <f aca="false">IF(B5="Arabica",IF(ISNUMBER(SEARCH("Parchment",C5)),"Arabica Plantation (estimated milled)","Arabica Cherry (estimated milled)"),IF(ISNUMBER(SEARCH("Parchment",C5)),"Robusta Parchment (estimated milled)","Robusta Cherry (estimated milled)"))</f>
        <v>Robusta Cherry (estimated milled)</v>
      </c>
    </row>
    <row r="6" customFormat="false" ht="15" hidden="false" customHeight="true" outlineLevel="0" collapsed="false">
      <c r="A6" s="14" t="n">
        <v>46197</v>
      </c>
      <c r="B6" s="5" t="s">
        <v>42</v>
      </c>
      <c r="C6" s="5" t="s">
        <v>43</v>
      </c>
      <c r="D6" s="10" t="n">
        <v>22600</v>
      </c>
      <c r="E6" s="10" t="n">
        <v>23000</v>
      </c>
      <c r="F6" s="5" t="s">
        <v>44</v>
      </c>
      <c r="G6" s="5" t="s">
        <v>45</v>
      </c>
      <c r="H6" s="10" t="n">
        <v>277.2</v>
      </c>
      <c r="I6" s="5" t="s">
        <v>46</v>
      </c>
      <c r="J6" s="10" t="n">
        <v>67.4743</v>
      </c>
      <c r="K6" s="10" t="n">
        <v>96.6461</v>
      </c>
      <c r="L6" s="5" t="n">
        <f aca="false">((AVERAGE(D6:E6)/50/J6)/(IF(B6="Arabica",IF(ISNUMBER(SEARCH("Parchment",C6)),0.8,0.48),IF(ISNUMBER(SEARCH("Parchment",C6)),0.82,0.5))))*(1+Assumptions!$B$6)+Assumptions!$B$5+Assumptions!$B$7+Assumptions!$B$8+((AVERAGE(D6:E6)/50/J6)/(IF(B6="Arabica",IF(ISNUMBER(SEARCH("Parchment",C6)),0.8,0.48),IF(ISNUMBER(SEARCH("Parchment",C6)),0.82,0.5))))*Assumptions!$B$9</f>
        <v>10.6837631513035</v>
      </c>
      <c r="M6" s="11"/>
      <c r="N6" s="11"/>
      <c r="O6" s="11"/>
      <c r="P6" s="7" t="s">
        <v>54</v>
      </c>
      <c r="Q6" s="5" t="n">
        <f aca="false">AVERAGE(D6:E6)</f>
        <v>22800</v>
      </c>
      <c r="R6" s="12" t="n">
        <f aca="false">(A6-_xlfn.MINIFS($A$2:A6,$B$2:B6,B6,$C$2:C6,C6))/7</f>
        <v>0.857142857142857</v>
      </c>
      <c r="S6" s="5" t="n">
        <f aca="false">_xlfn.MAXIFS($Q$2:Q6,$B$2:B6,B6,$C$2:C6,C6)</f>
        <v>23050</v>
      </c>
      <c r="T6" s="5" t="n">
        <f aca="false">_xlfn.MINIFS($Q$2:Q6,$B$2:B6,B6,$C$2:C6,C6)</f>
        <v>22800</v>
      </c>
      <c r="U6" s="5" t="str">
        <f aca="false">IF(R6&lt;1,"Day 1 - building history",IF(Q6&gt;=S6,TEXT(ROUND(R6,0),"0")&amp;"-wk high (since tracking began)",IF(Q6&lt;=T6,TEXT(ROUND(R6,0),"0")&amp;"-wk low (since tracking began)",TEXT(ROUND(R6,0),"0")&amp;"-wk range, mid-range")))</f>
        <v>Day 1 - building history</v>
      </c>
      <c r="V6" s="5" t="n">
        <f aca="false">Q6/50/K6</f>
        <v>4.71824522665684</v>
      </c>
      <c r="W6" s="5" t="n">
        <f aca="false">IF(B6="Arabica",H6/100/0.45359237,H6/1000)</f>
        <v>6.11121390776481</v>
      </c>
      <c r="X6" s="5" t="str">
        <f aca="false">IF(AND((A6-_xlfn.MINIFS($A$2:A6,$B$2:B6,B6,$C$2:C6,C6))&gt;=180,Q6&lt;=_xlfn.MINIFS($Q$2:Q6,$B$2:B6,B6,$C$2:C6,C6,$A$2:A6,"&gt;="&amp;(A6-180))),"6-MONTH LOW - historically cheap, safer to buy",IF(AND((A6-_xlfn.MINIFS($A$2:A6,$B$2:B6,B6,$C$2:C6,C6))&gt;=180,Q6&gt;=_xlfn.MAXIFS($Q$2:Q6,$B$2:B6,B6,$C$2:C6,C6,$A$2:A6,"&gt;="&amp;(A6-180))),"6-MONTH HIGH - historically expensive, riskier to buy",IF(AND((A6-_xlfn.MINIFS($A$2:A6,$B$2:B6,B6,$C$2:C6,C6))&gt;=90,Q6&lt;=_xlfn.MINIFS($Q$2:Q6,$B$2:B6,B6,$C$2:C6,C6,$A$2:A6,"&gt;="&amp;(A6-90))),"3-MONTH LOW - historically cheap, safer to buy",IF(AND((A6-_xlfn.MINIFS($A$2:A6,$B$2:B6,B6,$C$2:C6,C6))&gt;=90,Q6&gt;=_xlfn.MAXIFS($Q$2:Q6,$B$2:B6,B6,$C$2:C6,C6,$A$2:A6,"&gt;="&amp;(A6-90))),"3-MONTH HIGH - historically expensive, riskier to buy",IF((A6-_xlfn.MINIFS($A$2:A6,$B$2:B6,B6,$C$2:C6,C6))&gt;=90,"within 3/6-month range","N/A - insufficient history yet (need 90+ days)")))))</f>
        <v>N/A - insufficient history yet (need 90+ days)</v>
      </c>
      <c r="Y6" s="5" t="n">
        <f aca="false">V6/IF(B6="Arabica",IF(ISNUMBER(SEARCH("Parchment",C6)),0.8,0.48),IF(ISNUMBER(SEARCH("Parchment",C6)),0.82,0.5))</f>
        <v>5.89780653332106</v>
      </c>
      <c r="Z6" s="5" t="str">
        <f aca="false">IF(B6="Arabica",IF(ISNUMBER(SEARCH("Parchment",C6)),"80%","48%"),IF(ISNUMBER(SEARCH("Parchment",C6)),"82%","50%"))</f>
        <v>80%</v>
      </c>
      <c r="AA6" s="13" t="str">
        <f aca="false">IF(B6="Arabica",IF(ISNUMBER(SEARCH("Parchment",C6)),"Arabica Plantation (estimated milled)","Arabica Cherry (estimated milled)"),IF(ISNUMBER(SEARCH("Parchment",C6)),"Robusta Parchment (estimated milled)","Robusta Cherry (estimated milled)"))</f>
        <v>Arabica Plantation (estimated milled)</v>
      </c>
    </row>
    <row r="7" customFormat="false" ht="15" hidden="false" customHeight="true" outlineLevel="0" collapsed="false">
      <c r="A7" s="14" t="n">
        <v>46197</v>
      </c>
      <c r="B7" s="5" t="s">
        <v>42</v>
      </c>
      <c r="C7" s="5" t="s">
        <v>48</v>
      </c>
      <c r="D7" s="10" t="n">
        <v>12750</v>
      </c>
      <c r="E7" s="10" t="n">
        <v>14250</v>
      </c>
      <c r="F7" s="5" t="s">
        <v>44</v>
      </c>
      <c r="G7" s="5" t="s">
        <v>45</v>
      </c>
      <c r="H7" s="10" t="n">
        <v>277.2</v>
      </c>
      <c r="I7" s="5" t="s">
        <v>46</v>
      </c>
      <c r="J7" s="10" t="n">
        <v>67.4743</v>
      </c>
      <c r="K7" s="10" t="n">
        <v>96.6461</v>
      </c>
      <c r="L7" s="5" t="n">
        <f aca="false">((AVERAGE(D7:E7)/50/J7)/(IF(B7="Arabica",IF(ISNUMBER(SEARCH("Parchment",C7)),0.8,0.48),IF(ISNUMBER(SEARCH("Parchment",C7)),0.82,0.5))))*(1+Assumptions!$B$6)+Assumptions!$B$5+Assumptions!$B$7+Assumptions!$B$8+((AVERAGE(D7:E7)/50/J7)/(IF(B7="Arabica",IF(ISNUMBER(SEARCH("Parchment",C7)),0.8,0.48),IF(ISNUMBER(SEARCH("Parchment",C7)),0.82,0.5))))*Assumptions!$B$9</f>
        <v>10.5537136361548</v>
      </c>
      <c r="M7" s="11"/>
      <c r="N7" s="11"/>
      <c r="O7" s="11"/>
      <c r="P7" s="7" t="s">
        <v>55</v>
      </c>
      <c r="Q7" s="5" t="n">
        <f aca="false">AVERAGE(D7:E7)</f>
        <v>13500</v>
      </c>
      <c r="R7" s="12" t="n">
        <f aca="false">(A7-_xlfn.MINIFS($A$2:A7,$B$2:B7,B7,$C$2:C7,C7))/7</f>
        <v>0.857142857142857</v>
      </c>
      <c r="S7" s="5" t="n">
        <f aca="false">_xlfn.MAXIFS($Q$2:Q7,$B$2:B7,B7,$C$2:C7,C7)</f>
        <v>13500</v>
      </c>
      <c r="T7" s="5" t="n">
        <f aca="false">_xlfn.MINIFS($Q$2:Q7,$B$2:B7,B7,$C$2:C7,C7)</f>
        <v>13500</v>
      </c>
      <c r="U7" s="5" t="str">
        <f aca="false">IF(R7&lt;1,"Day 1 - building history",IF(Q7&gt;=S7,TEXT(ROUND(R7,0),"0")&amp;"-wk high (since tracking began)",IF(Q7&lt;=T7,TEXT(ROUND(R7,0),"0")&amp;"-wk low (since tracking began)",TEXT(ROUND(R7,0),"0")&amp;"-wk range, mid-range")))</f>
        <v>Day 1 - building history</v>
      </c>
      <c r="V7" s="5" t="n">
        <f aca="false">Q7/50/K7</f>
        <v>2.79369783157313</v>
      </c>
      <c r="W7" s="5" t="n">
        <f aca="false">IF(B7="Arabica",H7/100/0.45359237,H7/1000)</f>
        <v>6.11121390776481</v>
      </c>
      <c r="X7" s="5" t="str">
        <f aca="false">IF(AND((A7-_xlfn.MINIFS($A$2:A7,$B$2:B7,B7,$C$2:C7,C7))&gt;=180,Q7&lt;=_xlfn.MINIFS($Q$2:Q7,$B$2:B7,B7,$C$2:C7,C7,$A$2:A7,"&gt;="&amp;(A7-180))),"6-MONTH LOW - historically cheap, safer to buy",IF(AND((A7-_xlfn.MINIFS($A$2:A7,$B$2:B7,B7,$C$2:C7,C7))&gt;=180,Q7&gt;=_xlfn.MAXIFS($Q$2:Q7,$B$2:B7,B7,$C$2:C7,C7,$A$2:A7,"&gt;="&amp;(A7-180))),"6-MONTH HIGH - historically expensive, riskier to buy",IF(AND((A7-_xlfn.MINIFS($A$2:A7,$B$2:B7,B7,$C$2:C7,C7))&gt;=90,Q7&lt;=_xlfn.MINIFS($Q$2:Q7,$B$2:B7,B7,$C$2:C7,C7,$A$2:A7,"&gt;="&amp;(A7-90))),"3-MONTH LOW - historically cheap, safer to buy",IF(AND((A7-_xlfn.MINIFS($A$2:A7,$B$2:B7,B7,$C$2:C7,C7))&gt;=90,Q7&gt;=_xlfn.MAXIFS($Q$2:Q7,$B$2:B7,B7,$C$2:C7,C7,$A$2:A7,"&gt;="&amp;(A7-90))),"3-MONTH HIGH - historically expensive, riskier to buy",IF((A7-_xlfn.MINIFS($A$2:A7,$B$2:B7,B7,$C$2:C7,C7))&gt;=90,"within 3/6-month range","N/A - insufficient history yet (need 90+ days)")))))</f>
        <v>N/A - insufficient history yet (need 90+ days)</v>
      </c>
      <c r="Y7" s="5" t="n">
        <f aca="false">V7/IF(B7="Arabica",IF(ISNUMBER(SEARCH("Parchment",C7)),0.8,0.48),IF(ISNUMBER(SEARCH("Parchment",C7)),0.82,0.5))</f>
        <v>5.82020381577736</v>
      </c>
      <c r="Z7" s="5" t="str">
        <f aca="false">IF(B7="Arabica",IF(ISNUMBER(SEARCH("Parchment",C7)),"80%","48%"),IF(ISNUMBER(SEARCH("Parchment",C7)),"82%","50%"))</f>
        <v>48%</v>
      </c>
      <c r="AA7" s="13" t="str">
        <f aca="false">IF(B7="Arabica",IF(ISNUMBER(SEARCH("Parchment",C7)),"Arabica Plantation (estimated milled)","Arabica Cherry (estimated milled)"),IF(ISNUMBER(SEARCH("Parchment",C7)),"Robusta Parchment (estimated milled)","Robusta Cherry (estimated milled)"))</f>
        <v>Arabica Cherry (estimated milled)</v>
      </c>
    </row>
    <row r="8" customFormat="false" ht="15" hidden="false" customHeight="true" outlineLevel="0" collapsed="false">
      <c r="A8" s="14" t="n">
        <v>46197</v>
      </c>
      <c r="B8" s="5" t="s">
        <v>50</v>
      </c>
      <c r="C8" s="5" t="s">
        <v>51</v>
      </c>
      <c r="D8" s="10" t="n">
        <v>17800</v>
      </c>
      <c r="E8" s="10" t="n">
        <v>18300</v>
      </c>
      <c r="F8" s="5" t="s">
        <v>44</v>
      </c>
      <c r="G8" s="5" t="s">
        <v>45</v>
      </c>
      <c r="H8" s="10" t="n">
        <v>3707</v>
      </c>
      <c r="I8" s="5" t="s">
        <v>52</v>
      </c>
      <c r="J8" s="10" t="n">
        <v>67.4743</v>
      </c>
      <c r="K8" s="10" t="n">
        <v>96.6461</v>
      </c>
      <c r="L8" s="5" t="n">
        <f aca="false">((AVERAGE(D8:E8)/50/J8)/(IF(B8="Arabica",IF(ISNUMBER(SEARCH("Parchment",C8)),0.8,0.48),IF(ISNUMBER(SEARCH("Parchment",C8)),0.82,0.5))))*(1+Assumptions!$B$6)+Assumptions!$B$5+Assumptions!$B$7+Assumptions!$B$8+((AVERAGE(D8:E8)/50/J8)/(IF(B8="Arabica",IF(ISNUMBER(SEARCH("Parchment",C8)),0.8,0.48),IF(ISNUMBER(SEARCH("Parchment",C8)),0.82,0.5))))*Assumptions!$B$9</f>
        <v>8.43380080791736</v>
      </c>
      <c r="M8" s="11"/>
      <c r="N8" s="11"/>
      <c r="O8" s="11"/>
      <c r="P8" s="7" t="s">
        <v>55</v>
      </c>
      <c r="Q8" s="5" t="n">
        <f aca="false">AVERAGE(D8:E8)</f>
        <v>18050</v>
      </c>
      <c r="R8" s="12" t="n">
        <f aca="false">(A8-_xlfn.MINIFS($A$2:A8,$B$2:B8,B8,$C$2:C8,C8))/7</f>
        <v>0.857142857142857</v>
      </c>
      <c r="S8" s="5" t="n">
        <f aca="false">_xlfn.MAXIFS($Q$2:Q8,$B$2:B8,B8,$C$2:C8,C8)</f>
        <v>18050</v>
      </c>
      <c r="T8" s="5" t="n">
        <f aca="false">_xlfn.MINIFS($Q$2:Q8,$B$2:B8,B8,$C$2:C8,C8)</f>
        <v>18000</v>
      </c>
      <c r="U8" s="5" t="str">
        <f aca="false">IF(R8&lt;1,"Day 1 - building history",IF(Q8&gt;=S8,TEXT(ROUND(R8,0),"0")&amp;"-wk high (since tracking began)",IF(Q8&lt;=T8,TEXT(ROUND(R8,0),"0")&amp;"-wk low (since tracking began)",TEXT(ROUND(R8,0),"0")&amp;"-wk range, mid-range")))</f>
        <v>Day 1 - building history</v>
      </c>
      <c r="V8" s="5" t="n">
        <f aca="false">Q8/50/K8</f>
        <v>3.73527747110333</v>
      </c>
      <c r="W8" s="5" t="n">
        <f aca="false">IF(B8="Arabica",H8/100/0.45359237,H8/1000)</f>
        <v>3.707</v>
      </c>
      <c r="X8" s="5" t="str">
        <f aca="false">IF(AND((A8-_xlfn.MINIFS($A$2:A8,$B$2:B8,B8,$C$2:C8,C8))&gt;=180,Q8&lt;=_xlfn.MINIFS($Q$2:Q8,$B$2:B8,B8,$C$2:C8,C8,$A$2:A8,"&gt;="&amp;(A8-180))),"6-MONTH LOW - historically cheap, safer to buy",IF(AND((A8-_xlfn.MINIFS($A$2:A8,$B$2:B8,B8,$C$2:C8,C8))&gt;=180,Q8&gt;=_xlfn.MAXIFS($Q$2:Q8,$B$2:B8,B8,$C$2:C8,C8,$A$2:A8,"&gt;="&amp;(A8-180))),"6-MONTH HIGH - historically expensive, riskier to buy",IF(AND((A8-_xlfn.MINIFS($A$2:A8,$B$2:B8,B8,$C$2:C8,C8))&gt;=90,Q8&lt;=_xlfn.MINIFS($Q$2:Q8,$B$2:B8,B8,$C$2:C8,C8,$A$2:A8,"&gt;="&amp;(A8-90))),"3-MONTH LOW - historically cheap, safer to buy",IF(AND((A8-_xlfn.MINIFS($A$2:A8,$B$2:B8,B8,$C$2:C8,C8))&gt;=90,Q8&gt;=_xlfn.MAXIFS($Q$2:Q8,$B$2:B8,B8,$C$2:C8,C8,$A$2:A8,"&gt;="&amp;(A8-90))),"3-MONTH HIGH - historically expensive, riskier to buy",IF((A8-_xlfn.MINIFS($A$2:A8,$B$2:B8,B8,$C$2:C8,C8))&gt;=90,"within 3/6-month range","N/A - insufficient history yet (need 90+ days)")))))</f>
        <v>N/A - insufficient history yet (need 90+ days)</v>
      </c>
      <c r="Y8" s="5" t="n">
        <f aca="false">V8/IF(B8="Arabica",IF(ISNUMBER(SEARCH("Parchment",C8)),0.8,0.48),IF(ISNUMBER(SEARCH("Parchment",C8)),0.82,0.5))</f>
        <v>4.5552164281748</v>
      </c>
      <c r="Z8" s="5" t="str">
        <f aca="false">IF(B8="Arabica",IF(ISNUMBER(SEARCH("Parchment",C8)),"80%","48%"),IF(ISNUMBER(SEARCH("Parchment",C8)),"82%","50%"))</f>
        <v>82%</v>
      </c>
      <c r="AA8" s="13" t="str">
        <f aca="false">IF(B8="Arabica",IF(ISNUMBER(SEARCH("Parchment",C8)),"Arabica Plantation (estimated milled)","Arabica Cherry (estimated milled)"),IF(ISNUMBER(SEARCH("Parchment",C8)),"Robusta Parchment (estimated milled)","Robusta Cherry (estimated milled)"))</f>
        <v>Robusta Parchment (estimated milled)</v>
      </c>
    </row>
    <row r="9" customFormat="false" ht="15" hidden="false" customHeight="true" outlineLevel="0" collapsed="false">
      <c r="A9" s="14" t="n">
        <v>46197</v>
      </c>
      <c r="B9" s="5" t="s">
        <v>50</v>
      </c>
      <c r="C9" s="5" t="s">
        <v>53</v>
      </c>
      <c r="D9" s="10" t="n">
        <v>9500</v>
      </c>
      <c r="E9" s="10" t="n">
        <v>10300</v>
      </c>
      <c r="F9" s="5" t="s">
        <v>44</v>
      </c>
      <c r="G9" s="5" t="s">
        <v>45</v>
      </c>
      <c r="H9" s="10" t="n">
        <v>3707</v>
      </c>
      <c r="I9" s="5" t="s">
        <v>52</v>
      </c>
      <c r="J9" s="10" t="n">
        <v>67.4743</v>
      </c>
      <c r="K9" s="10" t="n">
        <v>96.6461</v>
      </c>
      <c r="L9" s="5" t="n">
        <f aca="false">((AVERAGE(D9:E9)/50/J9)/(IF(B9="Arabica",IF(ISNUMBER(SEARCH("Parchment",C9)),0.8,0.48),IF(ISNUMBER(SEARCH("Parchment",C9)),0.82,0.5))))*(1+Assumptions!$B$6)+Assumptions!$B$5+Assumptions!$B$7+Assumptions!$B$8+((AVERAGE(D9:E9)/50/J9)/(IF(B9="Arabica",IF(ISNUMBER(SEARCH("Parchment",C9)),0.8,0.48),IF(ISNUMBER(SEARCH("Parchment",C9)),0.82,0.5))))*Assumptions!$B$9</f>
        <v>7.66661439985298</v>
      </c>
      <c r="M9" s="11"/>
      <c r="N9" s="11"/>
      <c r="O9" s="11"/>
      <c r="P9" s="7" t="s">
        <v>55</v>
      </c>
      <c r="Q9" s="5" t="n">
        <f aca="false">AVERAGE(D9:E9)</f>
        <v>9900</v>
      </c>
      <c r="R9" s="12" t="n">
        <f aca="false">(A9-_xlfn.MINIFS($A$2:A9,$B$2:B9,B9,$C$2:C9,C9))/7</f>
        <v>0.857142857142857</v>
      </c>
      <c r="S9" s="5" t="n">
        <f aca="false">_xlfn.MAXIFS($Q$2:Q9,$B$2:B9,B9,$C$2:C9,C9)</f>
        <v>9900</v>
      </c>
      <c r="T9" s="5" t="n">
        <f aca="false">_xlfn.MINIFS($Q$2:Q9,$B$2:B9,B9,$C$2:C9,C9)</f>
        <v>9800</v>
      </c>
      <c r="U9" s="5" t="str">
        <f aca="false">IF(R9&lt;1,"Day 1 - building history",IF(Q9&gt;=S9,TEXT(ROUND(R9,0),"0")&amp;"-wk high (since tracking began)",IF(Q9&lt;=T9,TEXT(ROUND(R9,0),"0")&amp;"-wk low (since tracking began)",TEXT(ROUND(R9,0),"0")&amp;"-wk range, mid-range")))</f>
        <v>Day 1 - building history</v>
      </c>
      <c r="V9" s="5" t="n">
        <f aca="false">Q9/50/K9</f>
        <v>2.04871174315363</v>
      </c>
      <c r="W9" s="5" t="n">
        <f aca="false">IF(B9="Arabica",H9/100/0.45359237,H9/1000)</f>
        <v>3.707</v>
      </c>
      <c r="X9" s="5" t="str">
        <f aca="false">IF(AND((A9-_xlfn.MINIFS($A$2:A9,$B$2:B9,B9,$C$2:C9,C9))&gt;=180,Q9&lt;=_xlfn.MINIFS($Q$2:Q9,$B$2:B9,B9,$C$2:C9,C9,$A$2:A9,"&gt;="&amp;(A9-180))),"6-MONTH LOW - historically cheap, safer to buy",IF(AND((A9-_xlfn.MINIFS($A$2:A9,$B$2:B9,B9,$C$2:C9,C9))&gt;=180,Q9&gt;=_xlfn.MAXIFS($Q$2:Q9,$B$2:B9,B9,$C$2:C9,C9,$A$2:A9,"&gt;="&amp;(A9-180))),"6-MONTH HIGH - historically expensive, riskier to buy",IF(AND((A9-_xlfn.MINIFS($A$2:A9,$B$2:B9,B9,$C$2:C9,C9))&gt;=90,Q9&lt;=_xlfn.MINIFS($Q$2:Q9,$B$2:B9,B9,$C$2:C9,C9,$A$2:A9,"&gt;="&amp;(A9-90))),"3-MONTH LOW - historically cheap, safer to buy",IF(AND((A9-_xlfn.MINIFS($A$2:A9,$B$2:B9,B9,$C$2:C9,C9))&gt;=90,Q9&gt;=_xlfn.MAXIFS($Q$2:Q9,$B$2:B9,B9,$C$2:C9,C9,$A$2:A9,"&gt;="&amp;(A9-90))),"3-MONTH HIGH - historically expensive, riskier to buy",IF((A9-_xlfn.MINIFS($A$2:A9,$B$2:B9,B9,$C$2:C9,C9))&gt;=90,"within 3/6-month range","N/A - insufficient history yet (need 90+ days)")))))</f>
        <v>N/A - insufficient history yet (need 90+ days)</v>
      </c>
      <c r="Y9" s="5" t="n">
        <f aca="false">V9/IF(B9="Arabica",IF(ISNUMBER(SEARCH("Parchment",C9)),0.8,0.48),IF(ISNUMBER(SEARCH("Parchment",C9)),0.82,0.5))</f>
        <v>4.09742348630726</v>
      </c>
      <c r="Z9" s="5" t="str">
        <f aca="false">IF(B9="Arabica",IF(ISNUMBER(SEARCH("Parchment",C9)),"80%","48%"),IF(ISNUMBER(SEARCH("Parchment",C9)),"82%","50%"))</f>
        <v>50%</v>
      </c>
      <c r="AA9" s="13" t="str">
        <f aca="false">IF(B9="Arabica",IF(ISNUMBER(SEARCH("Parchment",C9)),"Arabica Plantation (estimated milled)","Arabica Cherry (estimated milled)"),IF(ISNUMBER(SEARCH("Parchment",C9)),"Robusta Parchment (estimated milled)","Robusta Cherry (estimated milled)"))</f>
        <v>Robusta Cherry (estimated milled)</v>
      </c>
    </row>
    <row r="10" customFormat="false" ht="15" hidden="false" customHeight="true" outlineLevel="0" collapsed="false">
      <c r="A10" s="14" t="n">
        <v>46204</v>
      </c>
      <c r="B10" s="5" t="s">
        <v>42</v>
      </c>
      <c r="C10" s="5" t="s">
        <v>43</v>
      </c>
      <c r="D10" s="10" t="n">
        <v>23000</v>
      </c>
      <c r="E10" s="10" t="n">
        <v>23700</v>
      </c>
      <c r="F10" s="5" t="s">
        <v>44</v>
      </c>
      <c r="G10" s="5" t="s">
        <v>45</v>
      </c>
      <c r="H10" s="10" t="n">
        <v>309.9</v>
      </c>
      <c r="I10" s="5" t="s">
        <v>46</v>
      </c>
      <c r="J10" s="10" t="n">
        <v>67.4743</v>
      </c>
      <c r="K10" s="10" t="n">
        <v>96.6461</v>
      </c>
      <c r="L10" s="5" t="n">
        <f aca="false">((AVERAGE(D10:E10)/50/J10)/(IF(B10="Arabica",IF(ISNUMBER(SEARCH("Parchment",C10)),0.8,0.48),IF(ISNUMBER(SEARCH("Parchment",C10)),0.82,0.5))))*(1+Assumptions!$B$6)+Assumptions!$B$5+Assumptions!$B$7+Assumptions!$B$8+((AVERAGE(D10:E10)/50/J10)/(IF(B10="Arabica",IF(ISNUMBER(SEARCH("Parchment",C10)),0.8,0.48),IF(ISNUMBER(SEARCH("Parchment",C10)),0.82,0.5))))*Assumptions!$B$9</f>
        <v>10.9221872624095</v>
      </c>
      <c r="M10" s="11"/>
      <c r="N10" s="11"/>
      <c r="O10" s="11"/>
      <c r="P10" s="7" t="s">
        <v>56</v>
      </c>
      <c r="Q10" s="5" t="n">
        <f aca="false">AVERAGE(D10:E10)</f>
        <v>23350</v>
      </c>
      <c r="R10" s="12" t="n">
        <f aca="false">(A10-_xlfn.MINIFS($A$2:A10,$B$2:B10,B10,$C$2:C10,C10))/7</f>
        <v>1.85714285714286</v>
      </c>
      <c r="S10" s="5" t="n">
        <f aca="false">_xlfn.MAXIFS($Q$2:Q10,$B$2:B10,B10,$C$2:C10,C10)</f>
        <v>23350</v>
      </c>
      <c r="T10" s="5" t="n">
        <f aca="false">_xlfn.MINIFS($Q$2:Q10,$B$2:B10,B10,$C$2:C10,C10)</f>
        <v>22800</v>
      </c>
      <c r="U10" s="5" t="str">
        <f aca="false">IF(R10&lt;1,"Day 1 - building history",IF(Q10&gt;=S10,TEXT(ROUND(R10,0),"0")&amp;"-wk high (since tracking began)",IF(Q10&lt;=T10,TEXT(ROUND(R10,0),"0")&amp;"-wk low (since tracking began)",TEXT(ROUND(R10,0),"0")&amp;"-wk range, mid-range")))</f>
        <v>2-wk high (since tracking began)</v>
      </c>
      <c r="V10" s="5" t="n">
        <f aca="false">Q10/50/K10</f>
        <v>4.83206254572093</v>
      </c>
      <c r="W10" s="5" t="n">
        <f aca="false">IF(B10="Arabica",H10/100/0.45359237,H10/1000)</f>
        <v>6.83212550510936</v>
      </c>
      <c r="X10" s="5" t="str">
        <f aca="false">IF(AND((A10-_xlfn.MINIFS($A$2:A10,$B$2:B10,B10,$C$2:C10,C10))&gt;=180,Q10&lt;=_xlfn.MINIFS($Q$2:Q10,$B$2:B10,B10,$C$2:C10,C10,$A$2:A10,"&gt;="&amp;(A10-180))),"6-MONTH LOW - historically cheap, safer to buy",IF(AND((A10-_xlfn.MINIFS($A$2:A10,$B$2:B10,B10,$C$2:C10,C10))&gt;=180,Q10&gt;=_xlfn.MAXIFS($Q$2:Q10,$B$2:B10,B10,$C$2:C10,C10,$A$2:A10,"&gt;="&amp;(A10-180))),"6-MONTH HIGH - historically expensive, riskier to buy",IF(AND((A10-_xlfn.MINIFS($A$2:A10,$B$2:B10,B10,$C$2:C10,C10))&gt;=90,Q10&lt;=_xlfn.MINIFS($Q$2:Q10,$B$2:B10,B10,$C$2:C10,C10,$A$2:A10,"&gt;="&amp;(A10-90))),"3-MONTH LOW - historically cheap, safer to buy",IF(AND((A10-_xlfn.MINIFS($A$2:A10,$B$2:B10,B10,$C$2:C10,C10))&gt;=90,Q10&gt;=_xlfn.MAXIFS($Q$2:Q10,$B$2:B10,B10,$C$2:C10,C10,$A$2:A10,"&gt;="&amp;(A10-90))),"3-MONTH HIGH - historically expensive, riskier to buy",IF((A10-_xlfn.MINIFS($A$2:A10,$B$2:B10,B10,$C$2:C10,C10))&gt;=90,"within 3/6-month range","N/A - insufficient history yet (need 90+ days)")))))</f>
        <v>N/A - insufficient history yet (need 90+ days)</v>
      </c>
      <c r="Y10" s="5" t="n">
        <f aca="false">V10/IF(B10="Arabica",IF(ISNUMBER(SEARCH("Parchment",C10)),0.8,0.48),IF(ISNUMBER(SEARCH("Parchment",C10)),0.82,0.5))</f>
        <v>6.04007818215117</v>
      </c>
      <c r="Z10" s="5" t="str">
        <f aca="false">IF(B10="Arabica",IF(ISNUMBER(SEARCH("Parchment",C10)),"80%","48%"),IF(ISNUMBER(SEARCH("Parchment",C10)),"82%","50%"))</f>
        <v>80%</v>
      </c>
      <c r="AA10" s="13" t="str">
        <f aca="false">IF(B10="Arabica",IF(ISNUMBER(SEARCH("Parchment",C10)),"Arabica Plantation (estimated milled)","Arabica Cherry (estimated milled)"),IF(ISNUMBER(SEARCH("Parchment",C10)),"Robusta Parchment (estimated milled)","Robusta Cherry (estimated milled)"))</f>
        <v>Arabica Plantation (estimated milled)</v>
      </c>
    </row>
    <row r="11" customFormat="false" ht="15" hidden="false" customHeight="true" outlineLevel="0" collapsed="false">
      <c r="A11" s="14" t="n">
        <v>46204</v>
      </c>
      <c r="B11" s="5" t="s">
        <v>42</v>
      </c>
      <c r="C11" s="5" t="s">
        <v>48</v>
      </c>
      <c r="D11" s="10" t="n">
        <v>12750</v>
      </c>
      <c r="E11" s="10" t="n">
        <v>14250</v>
      </c>
      <c r="F11" s="5" t="s">
        <v>44</v>
      </c>
      <c r="G11" s="5" t="s">
        <v>45</v>
      </c>
      <c r="H11" s="10" t="n">
        <v>309.9</v>
      </c>
      <c r="I11" s="5" t="s">
        <v>46</v>
      </c>
      <c r="J11" s="10" t="n">
        <v>67.4743</v>
      </c>
      <c r="K11" s="10" t="n">
        <v>96.6461</v>
      </c>
      <c r="L11" s="5" t="n">
        <f aca="false">((AVERAGE(D11:E11)/50/J11)/(IF(B11="Arabica",IF(ISNUMBER(SEARCH("Parchment",C11)),0.8,0.48),IF(ISNUMBER(SEARCH("Parchment",C11)),0.82,0.5))))*(1+Assumptions!$B$6)+Assumptions!$B$5+Assumptions!$B$7+Assumptions!$B$8+((AVERAGE(D11:E11)/50/J11)/(IF(B11="Arabica",IF(ISNUMBER(SEARCH("Parchment",C11)),0.8,0.48),IF(ISNUMBER(SEARCH("Parchment",C11)),0.82,0.5))))*Assumptions!$B$9</f>
        <v>10.5537136361548</v>
      </c>
      <c r="M11" s="11"/>
      <c r="N11" s="11"/>
      <c r="O11" s="11"/>
      <c r="P11" s="7" t="s">
        <v>57</v>
      </c>
      <c r="Q11" s="5" t="n">
        <f aca="false">AVERAGE(D11:E11)</f>
        <v>13500</v>
      </c>
      <c r="R11" s="12" t="n">
        <f aca="false">(A11-_xlfn.MINIFS($A$2:A11,$B$2:B11,B11,$C$2:C11,C11))/7</f>
        <v>1.85714285714286</v>
      </c>
      <c r="S11" s="5" t="n">
        <f aca="false">_xlfn.MAXIFS($Q$2:Q11,$B$2:B11,B11,$C$2:C11,C11)</f>
        <v>13500</v>
      </c>
      <c r="T11" s="5" t="n">
        <f aca="false">_xlfn.MINIFS($Q$2:Q11,$B$2:B11,B11,$C$2:C11,C11)</f>
        <v>13500</v>
      </c>
      <c r="U11" s="5" t="str">
        <f aca="false">IF(R11&lt;1,"Day 1 - building history",IF(Q11&gt;=S11,TEXT(ROUND(R11,0),"0")&amp;"-wk high (since tracking began)",IF(Q11&lt;=T11,TEXT(ROUND(R11,0),"0")&amp;"-wk low (since tracking began)",TEXT(ROUND(R11,0),"0")&amp;"-wk range, mid-range")))</f>
        <v>2-wk high (since tracking began)</v>
      </c>
      <c r="V11" s="5" t="n">
        <f aca="false">Q11/50/K11</f>
        <v>2.79369783157313</v>
      </c>
      <c r="W11" s="5" t="n">
        <f aca="false">IF(B11="Arabica",H11/100/0.45359237,H11/1000)</f>
        <v>6.83212550510936</v>
      </c>
      <c r="X11" s="5" t="str">
        <f aca="false">IF(AND((A11-_xlfn.MINIFS($A$2:A11,$B$2:B11,B11,$C$2:C11,C11))&gt;=180,Q11&lt;=_xlfn.MINIFS($Q$2:Q11,$B$2:B11,B11,$C$2:C11,C11,$A$2:A11,"&gt;="&amp;(A11-180))),"6-MONTH LOW - historically cheap, safer to buy",IF(AND((A11-_xlfn.MINIFS($A$2:A11,$B$2:B11,B11,$C$2:C11,C11))&gt;=180,Q11&gt;=_xlfn.MAXIFS($Q$2:Q11,$B$2:B11,B11,$C$2:C11,C11,$A$2:A11,"&gt;="&amp;(A11-180))),"6-MONTH HIGH - historically expensive, riskier to buy",IF(AND((A11-_xlfn.MINIFS($A$2:A11,$B$2:B11,B11,$C$2:C11,C11))&gt;=90,Q11&lt;=_xlfn.MINIFS($Q$2:Q11,$B$2:B11,B11,$C$2:C11,C11,$A$2:A11,"&gt;="&amp;(A11-90))),"3-MONTH LOW - historically cheap, safer to buy",IF(AND((A11-_xlfn.MINIFS($A$2:A11,$B$2:B11,B11,$C$2:C11,C11))&gt;=90,Q11&gt;=_xlfn.MAXIFS($Q$2:Q11,$B$2:B11,B11,$C$2:C11,C11,$A$2:A11,"&gt;="&amp;(A11-90))),"3-MONTH HIGH - historically expensive, riskier to buy",IF((A11-_xlfn.MINIFS($A$2:A11,$B$2:B11,B11,$C$2:C11,C11))&gt;=90,"within 3/6-month range","N/A - insufficient history yet (need 90+ days)")))))</f>
        <v>N/A - insufficient history yet (need 90+ days)</v>
      </c>
      <c r="Y11" s="5" t="n">
        <f aca="false">V11/IF(B11="Arabica",IF(ISNUMBER(SEARCH("Parchment",C11)),0.8,0.48),IF(ISNUMBER(SEARCH("Parchment",C11)),0.82,0.5))</f>
        <v>5.82020381577736</v>
      </c>
      <c r="Z11" s="5" t="str">
        <f aca="false">IF(B11="Arabica",IF(ISNUMBER(SEARCH("Parchment",C11)),"80%","48%"),IF(ISNUMBER(SEARCH("Parchment",C11)),"82%","50%"))</f>
        <v>48%</v>
      </c>
      <c r="AA11" s="13" t="str">
        <f aca="false">IF(B11="Arabica",IF(ISNUMBER(SEARCH("Parchment",C11)),"Arabica Plantation (estimated milled)","Arabica Cherry (estimated milled)"),IF(ISNUMBER(SEARCH("Parchment",C11)),"Robusta Parchment (estimated milled)","Robusta Cherry (estimated milled)"))</f>
        <v>Arabica Cherry (estimated milled)</v>
      </c>
    </row>
    <row r="12" customFormat="false" ht="15" hidden="false" customHeight="true" outlineLevel="0" collapsed="false">
      <c r="A12" s="14" t="n">
        <v>46204</v>
      </c>
      <c r="B12" s="5" t="s">
        <v>50</v>
      </c>
      <c r="C12" s="5" t="s">
        <v>51</v>
      </c>
      <c r="D12" s="10" t="n">
        <v>18000</v>
      </c>
      <c r="E12" s="10" t="n">
        <v>18500</v>
      </c>
      <c r="F12" s="5" t="s">
        <v>44</v>
      </c>
      <c r="G12" s="5" t="s">
        <v>45</v>
      </c>
      <c r="H12" s="10" t="n">
        <v>3771</v>
      </c>
      <c r="I12" s="5" t="s">
        <v>52</v>
      </c>
      <c r="J12" s="10" t="n">
        <v>67.4743</v>
      </c>
      <c r="K12" s="10" t="n">
        <v>96.6461</v>
      </c>
      <c r="L12" s="5" t="n">
        <f aca="false">((AVERAGE(D12:E12)/50/J12)/(IF(B12="Arabica",IF(ISNUMBER(SEARCH("Parchment",C12)),0.8,0.48),IF(ISNUMBER(SEARCH("Parchment",C12)),0.82,0.5))))*(1+Assumptions!$B$6)+Assumptions!$B$5+Assumptions!$B$7+Assumptions!$B$8+((AVERAGE(D12:E12)/50/J12)/(IF(B12="Arabica",IF(ISNUMBER(SEARCH("Parchment",C12)),0.8,0.48),IF(ISNUMBER(SEARCH("Parchment",C12)),0.82,0.5))))*Assumptions!$B$9</f>
        <v>8.5183858584206</v>
      </c>
      <c r="M12" s="11"/>
      <c r="N12" s="11"/>
      <c r="O12" s="11"/>
      <c r="P12" s="7" t="s">
        <v>57</v>
      </c>
      <c r="Q12" s="5" t="n">
        <f aca="false">AVERAGE(D12:E12)</f>
        <v>18250</v>
      </c>
      <c r="R12" s="12" t="n">
        <f aca="false">(A12-_xlfn.MINIFS($A$2:A12,$B$2:B12,B12,$C$2:C12,C12))/7</f>
        <v>1.85714285714286</v>
      </c>
      <c r="S12" s="5" t="n">
        <f aca="false">_xlfn.MAXIFS($Q$2:Q12,$B$2:B12,B12,$C$2:C12,C12)</f>
        <v>18250</v>
      </c>
      <c r="T12" s="5" t="n">
        <f aca="false">_xlfn.MINIFS($Q$2:Q12,$B$2:B12,B12,$C$2:C12,C12)</f>
        <v>18000</v>
      </c>
      <c r="U12" s="5" t="str">
        <f aca="false">IF(R12&lt;1,"Day 1 - building history",IF(Q12&gt;=S12,TEXT(ROUND(R12,0),"0")&amp;"-wk high (since tracking began)",IF(Q12&lt;=T12,TEXT(ROUND(R12,0),"0")&amp;"-wk low (since tracking began)",TEXT(ROUND(R12,0),"0")&amp;"-wk range, mid-range")))</f>
        <v>2-wk high (since tracking began)</v>
      </c>
      <c r="V12" s="5" t="n">
        <f aca="false">Q12/50/K12</f>
        <v>3.77666558712664</v>
      </c>
      <c r="W12" s="5" t="n">
        <f aca="false">IF(B12="Arabica",H12/100/0.45359237,H12/1000)</f>
        <v>3.771</v>
      </c>
      <c r="X12" s="5" t="str">
        <f aca="false">IF(AND((A12-_xlfn.MINIFS($A$2:A12,$B$2:B12,B12,$C$2:C12,C12))&gt;=180,Q12&lt;=_xlfn.MINIFS($Q$2:Q12,$B$2:B12,B12,$C$2:C12,C12,$A$2:A12,"&gt;="&amp;(A12-180))),"6-MONTH LOW - historically cheap, safer to buy",IF(AND((A12-_xlfn.MINIFS($A$2:A12,$B$2:B12,B12,$C$2:C12,C12))&gt;=180,Q12&gt;=_xlfn.MAXIFS($Q$2:Q12,$B$2:B12,B12,$C$2:C12,C12,$A$2:A12,"&gt;="&amp;(A12-180))),"6-MONTH HIGH - historically expensive, riskier to buy",IF(AND((A12-_xlfn.MINIFS($A$2:A12,$B$2:B12,B12,$C$2:C12,C12))&gt;=90,Q12&lt;=_xlfn.MINIFS($Q$2:Q12,$B$2:B12,B12,$C$2:C12,C12,$A$2:A12,"&gt;="&amp;(A12-90))),"3-MONTH LOW - historically cheap, safer to buy",IF(AND((A12-_xlfn.MINIFS($A$2:A12,$B$2:B12,B12,$C$2:C12,C12))&gt;=90,Q12&gt;=_xlfn.MAXIFS($Q$2:Q12,$B$2:B12,B12,$C$2:C12,C12,$A$2:A12,"&gt;="&amp;(A12-90))),"3-MONTH HIGH - historically expensive, riskier to buy",IF((A12-_xlfn.MINIFS($A$2:A12,$B$2:B12,B12,$C$2:C12,C12))&gt;=90,"within 3/6-month range","N/A - insufficient history yet (need 90+ days)")))))</f>
        <v>N/A - insufficient history yet (need 90+ days)</v>
      </c>
      <c r="Y12" s="5" t="n">
        <f aca="false">V12/IF(B12="Arabica",IF(ISNUMBER(SEARCH("Parchment",C12)),0.8,0.48),IF(ISNUMBER(SEARCH("Parchment",C12)),0.82,0.5))</f>
        <v>4.60568974039834</v>
      </c>
      <c r="Z12" s="5" t="str">
        <f aca="false">IF(B12="Arabica",IF(ISNUMBER(SEARCH("Parchment",C12)),"80%","48%"),IF(ISNUMBER(SEARCH("Parchment",C12)),"82%","50%"))</f>
        <v>82%</v>
      </c>
      <c r="AA12" s="13" t="str">
        <f aca="false">IF(B12="Arabica",IF(ISNUMBER(SEARCH("Parchment",C12)),"Arabica Plantation (estimated milled)","Arabica Cherry (estimated milled)"),IF(ISNUMBER(SEARCH("Parchment",C12)),"Robusta Parchment (estimated milled)","Robusta Cherry (estimated milled)"))</f>
        <v>Robusta Parchment (estimated milled)</v>
      </c>
    </row>
    <row r="13" customFormat="false" ht="15" hidden="false" customHeight="true" outlineLevel="0" collapsed="false">
      <c r="A13" s="14" t="n">
        <v>46204</v>
      </c>
      <c r="B13" s="5" t="s">
        <v>50</v>
      </c>
      <c r="C13" s="5" t="s">
        <v>53</v>
      </c>
      <c r="D13" s="10" t="n">
        <v>9700</v>
      </c>
      <c r="E13" s="10" t="n">
        <v>10500</v>
      </c>
      <c r="F13" s="5" t="s">
        <v>44</v>
      </c>
      <c r="G13" s="5" t="s">
        <v>45</v>
      </c>
      <c r="H13" s="10" t="n">
        <v>3771</v>
      </c>
      <c r="I13" s="5" t="s">
        <v>52</v>
      </c>
      <c r="J13" s="10" t="n">
        <v>67.4743</v>
      </c>
      <c r="K13" s="10" t="n">
        <v>96.6461</v>
      </c>
      <c r="L13" s="5" t="n">
        <f aca="false">((AVERAGE(D13:E13)/50/J13)/(IF(B13="Arabica",IF(ISNUMBER(SEARCH("Parchment",C13)),0.8,0.48),IF(ISNUMBER(SEARCH("Parchment",C13)),0.82,0.5))))*(1+Assumptions!$B$6)+Assumptions!$B$5+Assumptions!$B$7+Assumptions!$B$8+((AVERAGE(D13:E13)/50/J13)/(IF(B13="Arabica",IF(ISNUMBER(SEARCH("Parchment",C13)),0.8,0.48),IF(ISNUMBER(SEARCH("Parchment",C13)),0.82,0.5))))*Assumptions!$B$9</f>
        <v>7.80533388267829</v>
      </c>
      <c r="M13" s="11"/>
      <c r="N13" s="11"/>
      <c r="O13" s="11"/>
      <c r="P13" s="7" t="s">
        <v>57</v>
      </c>
      <c r="Q13" s="5" t="n">
        <f aca="false">AVERAGE(D13:E13)</f>
        <v>10100</v>
      </c>
      <c r="R13" s="12" t="n">
        <f aca="false">(A13-_xlfn.MINIFS($A$2:A13,$B$2:B13,B13,$C$2:C13,C13))/7</f>
        <v>1.85714285714286</v>
      </c>
      <c r="S13" s="5" t="n">
        <f aca="false">_xlfn.MAXIFS($Q$2:Q13,$B$2:B13,B13,$C$2:C13,C13)</f>
        <v>10100</v>
      </c>
      <c r="T13" s="5" t="n">
        <f aca="false">_xlfn.MINIFS($Q$2:Q13,$B$2:B13,B13,$C$2:C13,C13)</f>
        <v>9800</v>
      </c>
      <c r="U13" s="5" t="str">
        <f aca="false">IF(R13&lt;1,"Day 1 - building history",IF(Q13&gt;=S13,TEXT(ROUND(R13,0),"0")&amp;"-wk high (since tracking began)",IF(Q13&lt;=T13,TEXT(ROUND(R13,0),"0")&amp;"-wk low (since tracking began)",TEXT(ROUND(R13,0),"0")&amp;"-wk range, mid-range")))</f>
        <v>2-wk high (since tracking began)</v>
      </c>
      <c r="V13" s="5" t="n">
        <f aca="false">Q13/50/K13</f>
        <v>2.09009985917694</v>
      </c>
      <c r="W13" s="5" t="n">
        <f aca="false">IF(B13="Arabica",H13/100/0.45359237,H13/1000)</f>
        <v>3.771</v>
      </c>
      <c r="X13" s="5" t="str">
        <f aca="false">IF(AND((A13-_xlfn.MINIFS($A$2:A13,$B$2:B13,B13,$C$2:C13,C13))&gt;=180,Q13&lt;=_xlfn.MINIFS($Q$2:Q13,$B$2:B13,B13,$C$2:C13,C13,$A$2:A13,"&gt;="&amp;(A13-180))),"6-MONTH LOW - historically cheap, safer to buy",IF(AND((A13-_xlfn.MINIFS($A$2:A13,$B$2:B13,B13,$C$2:C13,C13))&gt;=180,Q13&gt;=_xlfn.MAXIFS($Q$2:Q13,$B$2:B13,B13,$C$2:C13,C13,$A$2:A13,"&gt;="&amp;(A13-180))),"6-MONTH HIGH - historically expensive, riskier to buy",IF(AND((A13-_xlfn.MINIFS($A$2:A13,$B$2:B13,B13,$C$2:C13,C13))&gt;=90,Q13&lt;=_xlfn.MINIFS($Q$2:Q13,$B$2:B13,B13,$C$2:C13,C13,$A$2:A13,"&gt;="&amp;(A13-90))),"3-MONTH LOW - historically cheap, safer to buy",IF(AND((A13-_xlfn.MINIFS($A$2:A13,$B$2:B13,B13,$C$2:C13,C13))&gt;=90,Q13&gt;=_xlfn.MAXIFS($Q$2:Q13,$B$2:B13,B13,$C$2:C13,C13,$A$2:A13,"&gt;="&amp;(A13-90))),"3-MONTH HIGH - historically expensive, riskier to buy",IF((A13-_xlfn.MINIFS($A$2:A13,$B$2:B13,B13,$C$2:C13,C13))&gt;=90,"within 3/6-month range","N/A - insufficient history yet (need 90+ days)")))))</f>
        <v>N/A - insufficient history yet (need 90+ days)</v>
      </c>
      <c r="Y13" s="5" t="n">
        <f aca="false">V13/IF(B13="Arabica",IF(ISNUMBER(SEARCH("Parchment",C13)),0.8,0.48),IF(ISNUMBER(SEARCH("Parchment",C13)),0.82,0.5))</f>
        <v>4.18019971835387</v>
      </c>
      <c r="Z13" s="5" t="str">
        <f aca="false">IF(B13="Arabica",IF(ISNUMBER(SEARCH("Parchment",C13)),"80%","48%"),IF(ISNUMBER(SEARCH("Parchment",C13)),"82%","50%"))</f>
        <v>50%</v>
      </c>
      <c r="AA13" s="13" t="str">
        <f aca="false">IF(B13="Arabica",IF(ISNUMBER(SEARCH("Parchment",C13)),"Arabica Plantation (estimated milled)","Arabica Cherry (estimated milled)"),IF(ISNUMBER(SEARCH("Parchment",C13)),"Robusta Parchment (estimated milled)","Robusta Cherry (estimated milled)"))</f>
        <v>Robusta Cherry (estimated milled)</v>
      </c>
    </row>
    <row r="14" customFormat="false" ht="15" hidden="false" customHeight="true" outlineLevel="0" collapsed="false">
      <c r="A14" s="14" t="n">
        <v>46211</v>
      </c>
      <c r="B14" s="5" t="s">
        <v>42</v>
      </c>
      <c r="C14" s="5" t="s">
        <v>43</v>
      </c>
      <c r="D14" s="10" t="n">
        <v>24000</v>
      </c>
      <c r="E14" s="10" t="n">
        <v>25000</v>
      </c>
      <c r="F14" s="5" t="s">
        <v>44</v>
      </c>
      <c r="G14" s="5" t="s">
        <v>45</v>
      </c>
      <c r="H14" s="10" t="n">
        <v>309.8</v>
      </c>
      <c r="I14" s="5" t="s">
        <v>46</v>
      </c>
      <c r="J14" s="10" t="n">
        <v>67.4743</v>
      </c>
      <c r="K14" s="10" t="n">
        <v>96.6461</v>
      </c>
      <c r="L14" s="5" t="n">
        <f aca="false">((AVERAGE(D14:E14)/50/J14)/(IF(B14="Arabica",IF(ISNUMBER(SEARCH("Parchment",C14)),0.8,0.48),IF(ISNUMBER(SEARCH("Parchment",C14)),0.82,0.5))))*(1+Assumptions!$B$6)+Assumptions!$B$5+Assumptions!$B$7+Assumptions!$B$8+((AVERAGE(D14:E14)/50/J14)/(IF(B14="Arabica",IF(ISNUMBER(SEARCH("Parchment",C14)),0.8,0.48),IF(ISNUMBER(SEARCH("Parchment",C14)),0.82,0.5))))*Assumptions!$B$9</f>
        <v>11.420710403813</v>
      </c>
      <c r="M14" s="11"/>
      <c r="N14" s="11"/>
      <c r="O14" s="11"/>
      <c r="P14" s="7" t="s">
        <v>58</v>
      </c>
      <c r="Q14" s="5" t="n">
        <f aca="false">AVERAGE(D14:E14)</f>
        <v>24500</v>
      </c>
      <c r="R14" s="12" t="n">
        <f aca="false">(A14-_xlfn.MINIFS($A$2:A14,$B$2:B14,B14,$C$2:C14,C14))/7</f>
        <v>2.85714285714286</v>
      </c>
      <c r="S14" s="5" t="n">
        <f aca="false">_xlfn.MAXIFS($Q$2:Q14,$B$2:B14,B14,$C$2:C14,C14)</f>
        <v>24500</v>
      </c>
      <c r="T14" s="5" t="n">
        <f aca="false">_xlfn.MINIFS($Q$2:Q14,$B$2:B14,B14,$C$2:C14,C14)</f>
        <v>22800</v>
      </c>
      <c r="U14" s="5" t="str">
        <f aca="false">IF(R14&lt;1,"Day 1 - building history",IF(Q14&gt;=S14,TEXT(ROUND(R14,0),"0")&amp;"-wk high (since tracking began)",IF(Q14&lt;=T14,TEXT(ROUND(R14,0),"0")&amp;"-wk low (since tracking began)",TEXT(ROUND(R14,0),"0")&amp;"-wk range, mid-range")))</f>
        <v>3-wk high (since tracking began)</v>
      </c>
      <c r="V14" s="5" t="n">
        <f aca="false">Q14/50/K14</f>
        <v>5.07004421285494</v>
      </c>
      <c r="W14" s="5" t="n">
        <f aca="false">IF(B14="Arabica",H14/100/0.45359237,H14/1000)</f>
        <v>6.82992088248751</v>
      </c>
      <c r="X14" s="5" t="str">
        <f aca="false">IF(AND((A14-_xlfn.MINIFS($A$2:A14,$B$2:B14,B14,$C$2:C14,C14))&gt;=180,Q14&lt;=_xlfn.MINIFS($Q$2:Q14,$B$2:B14,B14,$C$2:C14,C14,$A$2:A14,"&gt;="&amp;(A14-180))),"6-MONTH LOW - historically cheap, safer to buy",IF(AND((A14-_xlfn.MINIFS($A$2:A14,$B$2:B14,B14,$C$2:C14,C14))&gt;=180,Q14&gt;=_xlfn.MAXIFS($Q$2:Q14,$B$2:B14,B14,$C$2:C14,C14,$A$2:A14,"&gt;="&amp;(A14-180))),"6-MONTH HIGH - historically expensive, riskier to buy",IF(AND((A14-_xlfn.MINIFS($A$2:A14,$B$2:B14,B14,$C$2:C14,C14))&gt;=90,Q14&lt;=_xlfn.MINIFS($Q$2:Q14,$B$2:B14,B14,$C$2:C14,C14,$A$2:A14,"&gt;="&amp;(A14-90))),"3-MONTH LOW - historically cheap, safer to buy",IF(AND((A14-_xlfn.MINIFS($A$2:A14,$B$2:B14,B14,$C$2:C14,C14))&gt;=90,Q14&gt;=_xlfn.MAXIFS($Q$2:Q14,$B$2:B14,B14,$C$2:C14,C14,$A$2:A14,"&gt;="&amp;(A14-90))),"3-MONTH HIGH - historically expensive, riskier to buy",IF((A14-_xlfn.MINIFS($A$2:A14,$B$2:B14,B14,$C$2:C14,C14))&gt;=90,"within 3/6-month range","N/A - insufficient history yet (need 90+ days)")))))</f>
        <v>N/A - insufficient history yet (need 90+ days)</v>
      </c>
      <c r="Y14" s="5" t="n">
        <f aca="false">V14/IF(B14="Arabica",IF(ISNUMBER(SEARCH("Parchment",C14)),0.8,0.48),IF(ISNUMBER(SEARCH("Parchment",C14)),0.82,0.5))</f>
        <v>6.33755526606868</v>
      </c>
      <c r="Z14" s="5" t="str">
        <f aca="false">IF(B14="Arabica",IF(ISNUMBER(SEARCH("Parchment",C14)),"80%","48%"),IF(ISNUMBER(SEARCH("Parchment",C14)),"82%","50%"))</f>
        <v>80%</v>
      </c>
      <c r="AA14" s="13" t="str">
        <f aca="false">IF(B14="Arabica",IF(ISNUMBER(SEARCH("Parchment",C14)),"Arabica Plantation (estimated milled)","Arabica Cherry (estimated milled)"),IF(ISNUMBER(SEARCH("Parchment",C14)),"Robusta Parchment (estimated milled)","Robusta Cherry (estimated milled)"))</f>
        <v>Arabica Plantation (estimated milled)</v>
      </c>
    </row>
    <row r="15" customFormat="false" ht="15" hidden="false" customHeight="true" outlineLevel="0" collapsed="false">
      <c r="A15" s="14" t="n">
        <v>46211</v>
      </c>
      <c r="B15" s="5" t="s">
        <v>42</v>
      </c>
      <c r="C15" s="5" t="s">
        <v>48</v>
      </c>
      <c r="D15" s="10" t="n">
        <v>14000</v>
      </c>
      <c r="E15" s="10" t="n">
        <v>15900</v>
      </c>
      <c r="F15" s="5" t="s">
        <v>44</v>
      </c>
      <c r="G15" s="5" t="s">
        <v>45</v>
      </c>
      <c r="H15" s="10" t="n">
        <v>309.8</v>
      </c>
      <c r="I15" s="5" t="s">
        <v>46</v>
      </c>
      <c r="J15" s="10" t="n">
        <v>67.4743</v>
      </c>
      <c r="K15" s="10" t="n">
        <v>96.6461</v>
      </c>
      <c r="L15" s="5" t="n">
        <f aca="false">((AVERAGE(D15:E15)/50/J15)/(IF(B15="Arabica",IF(ISNUMBER(SEARCH("Parchment",C15)),0.8,0.48),IF(ISNUMBER(SEARCH("Parchment",C15)),0.82,0.5))))*(1+Assumptions!$B$6)+Assumptions!$B$5+Assumptions!$B$7+Assumptions!$B$8+((AVERAGE(D15:E15)/50/J15)/(IF(B15="Arabica",IF(ISNUMBER(SEARCH("Parchment",C15)),0.8,0.48),IF(ISNUMBER(SEARCH("Parchment",C15)),0.82,0.5))))*Assumptions!$B$9</f>
        <v>11.6013347304085</v>
      </c>
      <c r="M15" s="11"/>
      <c r="N15" s="11"/>
      <c r="O15" s="11"/>
      <c r="P15" s="7"/>
      <c r="Q15" s="5" t="n">
        <f aca="false">AVERAGE(D15:E15)</f>
        <v>14950</v>
      </c>
      <c r="R15" s="12" t="n">
        <f aca="false">(A15-_xlfn.MINIFS($A$2:A15,$B$2:B15,B15,$C$2:C15,C15))/7</f>
        <v>2.85714285714286</v>
      </c>
      <c r="S15" s="5" t="n">
        <f aca="false">_xlfn.MAXIFS($Q$2:Q15,$B$2:B15,B15,$C$2:C15,C15)</f>
        <v>14950</v>
      </c>
      <c r="T15" s="5" t="n">
        <f aca="false">_xlfn.MINIFS($Q$2:Q15,$B$2:B15,B15,$C$2:C15,C15)</f>
        <v>13500</v>
      </c>
      <c r="U15" s="5" t="str">
        <f aca="false">IF(R15&lt;1,"Day 1 - building history",IF(Q15&gt;=S15,TEXT(ROUND(R15,0),"0")&amp;"-wk high (since tracking began)",IF(Q15&lt;=T15,TEXT(ROUND(R15,0),"0")&amp;"-wk low (since tracking began)",TEXT(ROUND(R15,0),"0")&amp;"-wk range, mid-range")))</f>
        <v>3-wk high (since tracking began)</v>
      </c>
      <c r="V15" s="5" t="n">
        <f aca="false">Q15/50/K15</f>
        <v>3.0937616727421</v>
      </c>
      <c r="W15" s="5" t="n">
        <f aca="false">IF(B15="Arabica",H15/100/0.45359237,H15/1000)</f>
        <v>6.82992088248751</v>
      </c>
      <c r="X15" s="5" t="str">
        <f aca="false">IF(AND((A15-_xlfn.MINIFS($A$2:A15,$B$2:B15,B15,$C$2:C15,C15))&gt;=180,Q15&lt;=_xlfn.MINIFS($Q$2:Q15,$B$2:B15,B15,$C$2:C15,C15,$A$2:A15,"&gt;="&amp;(A15-180))),"6-MONTH LOW - historically cheap, safer to buy",IF(AND((A15-_xlfn.MINIFS($A$2:A15,$B$2:B15,B15,$C$2:C15,C15))&gt;=180,Q15&gt;=_xlfn.MAXIFS($Q$2:Q15,$B$2:B15,B15,$C$2:C15,C15,$A$2:A15,"&gt;="&amp;(A15-180))),"6-MONTH HIGH - historically expensive, riskier to buy",IF(AND((A15-_xlfn.MINIFS($A$2:A15,$B$2:B15,B15,$C$2:C15,C15))&gt;=90,Q15&lt;=_xlfn.MINIFS($Q$2:Q15,$B$2:B15,B15,$C$2:C15,C15,$A$2:A15,"&gt;="&amp;(A15-90))),"3-MONTH LOW - historically cheap, safer to buy",IF(AND((A15-_xlfn.MINIFS($A$2:A15,$B$2:B15,B15,$C$2:C15,C15))&gt;=90,Q15&gt;=_xlfn.MAXIFS($Q$2:Q15,$B$2:B15,B15,$C$2:C15,C15,$A$2:A15,"&gt;="&amp;(A15-90))),"3-MONTH HIGH - historically expensive, riskier to buy",IF((A15-_xlfn.MINIFS($A$2:A15,$B$2:B15,B15,$C$2:C15,C15))&gt;=90,"within 3/6-month range","N/A - insufficient history yet (need 90+ days)")))))</f>
        <v>N/A - insufficient history yet (need 90+ days)</v>
      </c>
      <c r="Y15" s="5" t="n">
        <f aca="false">V15/IF(B15="Arabica",IF(ISNUMBER(SEARCH("Parchment",C15)),0.8,0.48),IF(ISNUMBER(SEARCH("Parchment",C15)),0.82,0.5))</f>
        <v>6.4453368182127</v>
      </c>
      <c r="Z15" s="5" t="str">
        <f aca="false">IF(B15="Arabica",IF(ISNUMBER(SEARCH("Parchment",C15)),"80%","48%"),IF(ISNUMBER(SEARCH("Parchment",C15)),"82%","50%"))</f>
        <v>48%</v>
      </c>
      <c r="AA15" s="13" t="str">
        <f aca="false">IF(B15="Arabica",IF(ISNUMBER(SEARCH("Parchment",C15)),"Arabica Plantation (estimated milled)","Arabica Cherry (estimated milled)"),IF(ISNUMBER(SEARCH("Parchment",C15)),"Robusta Parchment (estimated milled)","Robusta Cherry (estimated milled)"))</f>
        <v>Arabica Cherry (estimated milled)</v>
      </c>
    </row>
    <row r="16" customFormat="false" ht="15" hidden="false" customHeight="true" outlineLevel="0" collapsed="false">
      <c r="A16" s="14" t="n">
        <v>46211</v>
      </c>
      <c r="B16" s="5" t="s">
        <v>50</v>
      </c>
      <c r="C16" s="5" t="s">
        <v>51</v>
      </c>
      <c r="D16" s="10" t="n">
        <v>18000</v>
      </c>
      <c r="E16" s="10" t="n">
        <v>18500</v>
      </c>
      <c r="F16" s="5" t="s">
        <v>44</v>
      </c>
      <c r="G16" s="5" t="s">
        <v>45</v>
      </c>
      <c r="H16" s="10" t="n">
        <v>3741</v>
      </c>
      <c r="I16" s="5" t="s">
        <v>52</v>
      </c>
      <c r="J16" s="10" t="n">
        <v>67.4743</v>
      </c>
      <c r="K16" s="10" t="n">
        <v>96.6461</v>
      </c>
      <c r="L16" s="5" t="n">
        <f aca="false">((AVERAGE(D16:E16)/50/J16)/(IF(B16="Arabica",IF(ISNUMBER(SEARCH("Parchment",C16)),0.8,0.48),IF(ISNUMBER(SEARCH("Parchment",C16)),0.82,0.5))))*(1+Assumptions!$B$6)+Assumptions!$B$5+Assumptions!$B$7+Assumptions!$B$8+((AVERAGE(D16:E16)/50/J16)/(IF(B16="Arabica",IF(ISNUMBER(SEARCH("Parchment",C16)),0.8,0.48),IF(ISNUMBER(SEARCH("Parchment",C16)),0.82,0.5))))*Assumptions!$B$9</f>
        <v>8.5183858584206</v>
      </c>
      <c r="M16" s="11"/>
      <c r="N16" s="11"/>
      <c r="O16" s="11"/>
      <c r="P16" s="7" t="s">
        <v>58</v>
      </c>
      <c r="Q16" s="5" t="n">
        <f aca="false">AVERAGE(D16:E16)</f>
        <v>18250</v>
      </c>
      <c r="R16" s="12" t="n">
        <f aca="false">(A16-_xlfn.MINIFS($A$2:A16,$B$2:B16,B16,$C$2:C16,C16))/7</f>
        <v>2.85714285714286</v>
      </c>
      <c r="S16" s="5" t="n">
        <f aca="false">_xlfn.MAXIFS($Q$2:Q16,$B$2:B16,B16,$C$2:C16,C16)</f>
        <v>18250</v>
      </c>
      <c r="T16" s="5" t="n">
        <f aca="false">_xlfn.MINIFS($Q$2:Q16,$B$2:B16,B16,$C$2:C16,C16)</f>
        <v>18000</v>
      </c>
      <c r="U16" s="5" t="str">
        <f aca="false">IF(R16&lt;1,"Day 1 - building history",IF(Q16&gt;=S16,TEXT(ROUND(R16,0),"0")&amp;"-wk high (since tracking began)",IF(Q16&lt;=T16,TEXT(ROUND(R16,0),"0")&amp;"-wk low (since tracking began)",TEXT(ROUND(R16,0),"0")&amp;"-wk range, mid-range")))</f>
        <v>3-wk high (since tracking began)</v>
      </c>
      <c r="V16" s="5" t="n">
        <f aca="false">Q16/50/K16</f>
        <v>3.77666558712664</v>
      </c>
      <c r="W16" s="5" t="n">
        <f aca="false">IF(B16="Arabica",H16/100/0.45359237,H16/1000)</f>
        <v>3.741</v>
      </c>
      <c r="X16" s="5" t="str">
        <f aca="false">IF(AND((A16-_xlfn.MINIFS($A$2:A16,$B$2:B16,B16,$C$2:C16,C16))&gt;=180,Q16&lt;=_xlfn.MINIFS($Q$2:Q16,$B$2:B16,B16,$C$2:C16,C16,$A$2:A16,"&gt;="&amp;(A16-180))),"6-MONTH LOW - historically cheap, safer to buy",IF(AND((A16-_xlfn.MINIFS($A$2:A16,$B$2:B16,B16,$C$2:C16,C16))&gt;=180,Q16&gt;=_xlfn.MAXIFS($Q$2:Q16,$B$2:B16,B16,$C$2:C16,C16,$A$2:A16,"&gt;="&amp;(A16-180))),"6-MONTH HIGH - historically expensive, riskier to buy",IF(AND((A16-_xlfn.MINIFS($A$2:A16,$B$2:B16,B16,$C$2:C16,C16))&gt;=90,Q16&lt;=_xlfn.MINIFS($Q$2:Q16,$B$2:B16,B16,$C$2:C16,C16,$A$2:A16,"&gt;="&amp;(A16-90))),"3-MONTH LOW - historically cheap, safer to buy",IF(AND((A16-_xlfn.MINIFS($A$2:A16,$B$2:B16,B16,$C$2:C16,C16))&gt;=90,Q16&gt;=_xlfn.MAXIFS($Q$2:Q16,$B$2:B16,B16,$C$2:C16,C16,$A$2:A16,"&gt;="&amp;(A16-90))),"3-MONTH HIGH - historically expensive, riskier to buy",IF((A16-_xlfn.MINIFS($A$2:A16,$B$2:B16,B16,$C$2:C16,C16))&gt;=90,"within 3/6-month range","N/A - insufficient history yet (need 90+ days)")))))</f>
        <v>N/A - insufficient history yet (need 90+ days)</v>
      </c>
      <c r="Y16" s="5" t="n">
        <f aca="false">V16/IF(B16="Arabica",IF(ISNUMBER(SEARCH("Parchment",C16)),0.8,0.48),IF(ISNUMBER(SEARCH("Parchment",C16)),0.82,0.5))</f>
        <v>4.60568974039834</v>
      </c>
      <c r="Z16" s="5" t="str">
        <f aca="false">IF(B16="Arabica",IF(ISNUMBER(SEARCH("Parchment",C16)),"80%","48%"),IF(ISNUMBER(SEARCH("Parchment",C16)),"82%","50%"))</f>
        <v>82%</v>
      </c>
      <c r="AA16" s="13" t="str">
        <f aca="false">IF(B16="Arabica",IF(ISNUMBER(SEARCH("Parchment",C16)),"Arabica Plantation (estimated milled)","Arabica Cherry (estimated milled)"),IF(ISNUMBER(SEARCH("Parchment",C16)),"Robusta Parchment (estimated milled)","Robusta Cherry (estimated milled)"))</f>
        <v>Robusta Parchment (estimated milled)</v>
      </c>
    </row>
    <row r="17" customFormat="false" ht="15" hidden="false" customHeight="true" outlineLevel="0" collapsed="false">
      <c r="A17" s="14" t="n">
        <v>46211</v>
      </c>
      <c r="B17" s="5" t="s">
        <v>50</v>
      </c>
      <c r="C17" s="5" t="s">
        <v>53</v>
      </c>
      <c r="D17" s="10" t="n">
        <v>10100</v>
      </c>
      <c r="E17" s="10" t="n">
        <v>11000</v>
      </c>
      <c r="F17" s="5" t="s">
        <v>44</v>
      </c>
      <c r="G17" s="5" t="s">
        <v>45</v>
      </c>
      <c r="H17" s="10" t="n">
        <v>3741</v>
      </c>
      <c r="I17" s="5" t="s">
        <v>52</v>
      </c>
      <c r="J17" s="10" t="n">
        <v>67.4743</v>
      </c>
      <c r="K17" s="10" t="n">
        <v>96.6461</v>
      </c>
      <c r="L17" s="5" t="n">
        <f aca="false">((AVERAGE(D17:E17)/50/J17)/(IF(B17="Arabica",IF(ISNUMBER(SEARCH("Parchment",C17)),0.8,0.48),IF(ISNUMBER(SEARCH("Parchment",C17)),0.82,0.5))))*(1+Assumptions!$B$6)+Assumptions!$B$5+Assumptions!$B$7+Assumptions!$B$8+((AVERAGE(D17:E17)/50/J17)/(IF(B17="Arabica",IF(ISNUMBER(SEARCH("Parchment",C17)),0.8,0.48),IF(ISNUMBER(SEARCH("Parchment",C17)),0.82,0.5))))*Assumptions!$B$9</f>
        <v>8.11745271903525</v>
      </c>
      <c r="M17" s="11"/>
      <c r="N17" s="11"/>
      <c r="O17" s="11"/>
      <c r="P17" s="7"/>
      <c r="Q17" s="5" t="n">
        <f aca="false">AVERAGE(D17:E17)</f>
        <v>10550</v>
      </c>
      <c r="R17" s="12" t="n">
        <f aca="false">(A17-_xlfn.MINIFS($A$2:A17,$B$2:B17,B17,$C$2:C17,C17))/7</f>
        <v>2.85714285714286</v>
      </c>
      <c r="S17" s="5" t="n">
        <f aca="false">_xlfn.MAXIFS($Q$2:Q17,$B$2:B17,B17,$C$2:C17,C17)</f>
        <v>10550</v>
      </c>
      <c r="T17" s="5" t="n">
        <f aca="false">_xlfn.MINIFS($Q$2:Q17,$B$2:B17,B17,$C$2:C17,C17)</f>
        <v>9800</v>
      </c>
      <c r="U17" s="5" t="str">
        <f aca="false">IF(R17&lt;1,"Day 1 - building history",IF(Q17&gt;=S17,TEXT(ROUND(R17,0),"0")&amp;"-wk high (since tracking began)",IF(Q17&lt;=T17,TEXT(ROUND(R17,0),"0")&amp;"-wk low (since tracking began)",TEXT(ROUND(R17,0),"0")&amp;"-wk range, mid-range")))</f>
        <v>3-wk high (since tracking began)</v>
      </c>
      <c r="V17" s="5" t="n">
        <f aca="false">Q17/50/K17</f>
        <v>2.18322312022937</v>
      </c>
      <c r="W17" s="5" t="n">
        <f aca="false">IF(B17="Arabica",H17/100/0.45359237,H17/1000)</f>
        <v>3.741</v>
      </c>
      <c r="X17" s="5" t="str">
        <f aca="false">IF(AND((A17-_xlfn.MINIFS($A$2:A17,$B$2:B17,B17,$C$2:C17,C17))&gt;=180,Q17&lt;=_xlfn.MINIFS($Q$2:Q17,$B$2:B17,B17,$C$2:C17,C17,$A$2:A17,"&gt;="&amp;(A17-180))),"6-MONTH LOW - historically cheap, safer to buy",IF(AND((A17-_xlfn.MINIFS($A$2:A17,$B$2:B17,B17,$C$2:C17,C17))&gt;=180,Q17&gt;=_xlfn.MAXIFS($Q$2:Q17,$B$2:B17,B17,$C$2:C17,C17,$A$2:A17,"&gt;="&amp;(A17-180))),"6-MONTH HIGH - historically expensive, riskier to buy",IF(AND((A17-_xlfn.MINIFS($A$2:A17,$B$2:B17,B17,$C$2:C17,C17))&gt;=90,Q17&lt;=_xlfn.MINIFS($Q$2:Q17,$B$2:B17,B17,$C$2:C17,C17,$A$2:A17,"&gt;="&amp;(A17-90))),"3-MONTH LOW - historically cheap, safer to buy",IF(AND((A17-_xlfn.MINIFS($A$2:A17,$B$2:B17,B17,$C$2:C17,C17))&gt;=90,Q17&gt;=_xlfn.MAXIFS($Q$2:Q17,$B$2:B17,B17,$C$2:C17,C17,$A$2:A17,"&gt;="&amp;(A17-90))),"3-MONTH HIGH - historically expensive, riskier to buy",IF((A17-_xlfn.MINIFS($A$2:A17,$B$2:B17,B17,$C$2:C17,C17))&gt;=90,"within 3/6-month range","N/A - insufficient history yet (need 90+ days)")))))</f>
        <v>N/A - insufficient history yet (need 90+ days)</v>
      </c>
      <c r="Y17" s="5" t="n">
        <f aca="false">V17/IF(B17="Arabica",IF(ISNUMBER(SEARCH("Parchment",C17)),0.8,0.48),IF(ISNUMBER(SEARCH("Parchment",C17)),0.82,0.5))</f>
        <v>4.36644624045875</v>
      </c>
      <c r="Z17" s="5" t="str">
        <f aca="false">IF(B17="Arabica",IF(ISNUMBER(SEARCH("Parchment",C17)),"80%","48%"),IF(ISNUMBER(SEARCH("Parchment",C17)),"82%","50%"))</f>
        <v>50%</v>
      </c>
      <c r="AA17" s="13" t="str">
        <f aca="false">IF(B17="Arabica",IF(ISNUMBER(SEARCH("Parchment",C17)),"Arabica Plantation (estimated milled)","Arabica Cherry (estimated milled)"),IF(ISNUMBER(SEARCH("Parchment",C17)),"Robusta Parchment (estimated milled)","Robusta Cherry (estimated milled)"))</f>
        <v>Robusta Cherry (estimated milled)</v>
      </c>
    </row>
    <row r="18" customFormat="false" ht="15" hidden="false" customHeight="true" outlineLevel="0" collapsed="false">
      <c r="A18" s="14" t="n">
        <v>46219</v>
      </c>
      <c r="B18" s="5" t="s">
        <v>42</v>
      </c>
      <c r="C18" s="5" t="s">
        <v>43</v>
      </c>
      <c r="D18" s="10" t="n">
        <v>24400</v>
      </c>
      <c r="E18" s="10" t="n">
        <v>25000</v>
      </c>
      <c r="F18" s="5" t="s">
        <v>44</v>
      </c>
      <c r="G18" s="5" t="s">
        <v>45</v>
      </c>
      <c r="H18" s="10" t="n">
        <v>312.6</v>
      </c>
      <c r="I18" s="5" t="s">
        <v>46</v>
      </c>
      <c r="J18" s="10" t="n">
        <v>67.4743</v>
      </c>
      <c r="K18" s="10" t="n">
        <v>96.6461</v>
      </c>
      <c r="L18" s="5" t="n">
        <f aca="false">((AVERAGE(D18:E18)/50/J18)/(IF(B18="Arabica",IF(ISNUMBER(SEARCH("Parchment",C18)),0.8,0.48),IF(ISNUMBER(SEARCH("Parchment",C18)),0.82,0.5))))*(1+Assumptions!$B$6)+Assumptions!$B$5+Assumptions!$B$7+Assumptions!$B$8+((AVERAGE(D18:E18)/50/J18)/(IF(B18="Arabica",IF(ISNUMBER(SEARCH("Parchment",C18)),0.8,0.48),IF(ISNUMBER(SEARCH("Parchment",C18)),0.82,0.5))))*Assumptions!$B$9</f>
        <v>11.5074100805788</v>
      </c>
      <c r="M18" s="11"/>
      <c r="N18" s="11"/>
      <c r="O18" s="11"/>
      <c r="P18" s="7" t="s">
        <v>59</v>
      </c>
      <c r="Q18" s="5" t="n">
        <f aca="false">AVERAGE(D18:E18)</f>
        <v>24700</v>
      </c>
      <c r="R18" s="12" t="n">
        <f aca="false">(A18-_xlfn.MINIFS($A$2:A18,$B$2:B18,B18,$C$2:C18,C18))/7</f>
        <v>4</v>
      </c>
      <c r="S18" s="5" t="n">
        <f aca="false">_xlfn.MAXIFS($Q$2:Q18,$B$2:B18,B18,$C$2:C18,C18)</f>
        <v>24700</v>
      </c>
      <c r="T18" s="5" t="n">
        <f aca="false">_xlfn.MINIFS($Q$2:Q18,$B$2:B18,B18,$C$2:C18,C18)</f>
        <v>22800</v>
      </c>
      <c r="U18" s="5" t="str">
        <f aca="false">IF(R18&lt;1,"Day 1 - building history",IF(Q18&gt;=S18,TEXT(ROUND(R18,0),"0")&amp;"-wk high (since tracking began)",IF(Q18&lt;=T18,TEXT(ROUND(R18,0),"0")&amp;"-wk low (since tracking began)",TEXT(ROUND(R18,0),"0")&amp;"-wk range, mid-range")))</f>
        <v>4-wk high (since tracking began)</v>
      </c>
      <c r="V18" s="5" t="n">
        <f aca="false">Q18/50/K18</f>
        <v>5.11143232887825</v>
      </c>
      <c r="W18" s="5" t="n">
        <f aca="false">IF(B18="Arabica",H18/100/0.45359237,H18/1000)</f>
        <v>6.89165031589927</v>
      </c>
      <c r="X18" s="5" t="str">
        <f aca="false">IF(AND((A18-_xlfn.MINIFS($A$2:A18,$B$2:B18,B18,$C$2:C18,C18))&gt;=180,Q18&lt;=_xlfn.MINIFS($Q$2:Q18,$B$2:B18,B18,$C$2:C18,C18,$A$2:A18,"&gt;="&amp;(A18-180))),"6-MONTH LOW - historically cheap, safer to buy",IF(AND((A18-_xlfn.MINIFS($A$2:A18,$B$2:B18,B18,$C$2:C18,C18))&gt;=180,Q18&gt;=_xlfn.MAXIFS($Q$2:Q18,$B$2:B18,B18,$C$2:C18,C18,$A$2:A18,"&gt;="&amp;(A18-180))),"6-MONTH HIGH - historically expensive, riskier to buy",IF(AND((A18-_xlfn.MINIFS($A$2:A18,$B$2:B18,B18,$C$2:C18,C18))&gt;=90,Q18&lt;=_xlfn.MINIFS($Q$2:Q18,$B$2:B18,B18,$C$2:C18,C18,$A$2:A18,"&gt;="&amp;(A18-90))),"3-MONTH LOW - historically cheap, safer to buy",IF(AND((A18-_xlfn.MINIFS($A$2:A18,$B$2:B18,B18,$C$2:C18,C18))&gt;=90,Q18&gt;=_xlfn.MAXIFS($Q$2:Q18,$B$2:B18,B18,$C$2:C18,C18,$A$2:A18,"&gt;="&amp;(A18-90))),"3-MONTH HIGH - historically expensive, riskier to buy",IF((A18-_xlfn.MINIFS($A$2:A18,$B$2:B18,B18,$C$2:C18,C18))&gt;=90,"within 3/6-month range","N/A - insufficient history yet (need 90+ days)")))))</f>
        <v>N/A - insufficient history yet (need 90+ days)</v>
      </c>
      <c r="Y18" s="5" t="n">
        <f aca="false">V18/IF(B18="Arabica",IF(ISNUMBER(SEARCH("Parchment",C18)),0.8,0.48),IF(ISNUMBER(SEARCH("Parchment",C18)),0.82,0.5))</f>
        <v>6.38929041109781</v>
      </c>
      <c r="Z18" s="5" t="str">
        <f aca="false">IF(B18="Arabica",IF(ISNUMBER(SEARCH("Parchment",C18)),"80%","48%"),IF(ISNUMBER(SEARCH("Parchment",C18)),"82%","50%"))</f>
        <v>80%</v>
      </c>
      <c r="AA18" s="13" t="str">
        <f aca="false">IF(B18="Arabica",IF(ISNUMBER(SEARCH("Parchment",C18)),"Arabica Plantation (estimated milled)","Arabica Cherry (estimated milled)"),IF(ISNUMBER(SEARCH("Parchment",C18)),"Robusta Parchment (estimated milled)","Robusta Cherry (estimated milled)"))</f>
        <v>Arabica Plantation (estimated milled)</v>
      </c>
    </row>
    <row r="19" customFormat="false" ht="15" hidden="false" customHeight="true" outlineLevel="0" collapsed="false">
      <c r="A19" s="14" t="n">
        <v>46219</v>
      </c>
      <c r="B19" s="5" t="s">
        <v>42</v>
      </c>
      <c r="C19" s="5" t="s">
        <v>48</v>
      </c>
      <c r="D19" s="10" t="n">
        <v>13800</v>
      </c>
      <c r="E19" s="10" t="n">
        <v>15400</v>
      </c>
      <c r="F19" s="5" t="s">
        <v>44</v>
      </c>
      <c r="G19" s="5" t="s">
        <v>45</v>
      </c>
      <c r="H19" s="10" t="n">
        <v>312.6</v>
      </c>
      <c r="I19" s="5" t="s">
        <v>46</v>
      </c>
      <c r="J19" s="10" t="n">
        <v>67.4743</v>
      </c>
      <c r="K19" s="10" t="n">
        <v>96.6461</v>
      </c>
      <c r="L19" s="5" t="n">
        <f aca="false">((AVERAGE(D19:E19)/50/J19)/(IF(B19="Arabica",IF(ISNUMBER(SEARCH("Parchment",C19)),0.8,0.48),IF(ISNUMBER(SEARCH("Parchment",C19)),0.82,0.5))))*(1+Assumptions!$B$6)+Assumptions!$B$5+Assumptions!$B$7+Assumptions!$B$8+((AVERAGE(D19:E19)/50/J19)/(IF(B19="Arabica",IF(ISNUMBER(SEARCH("Parchment",C19)),0.8,0.48),IF(ISNUMBER(SEARCH("Parchment",C19)),0.82,0.5))))*Assumptions!$B$9</f>
        <v>11.3484606731748</v>
      </c>
      <c r="M19" s="11"/>
      <c r="N19" s="11"/>
      <c r="O19" s="11"/>
      <c r="P19" s="7" t="s">
        <v>59</v>
      </c>
      <c r="Q19" s="5" t="n">
        <f aca="false">AVERAGE(D19:E19)</f>
        <v>14600</v>
      </c>
      <c r="R19" s="12" t="n">
        <f aca="false">(A19-_xlfn.MINIFS($A$2:A19,$B$2:B19,B19,$C$2:C19,C19))/7</f>
        <v>4</v>
      </c>
      <c r="S19" s="5" t="n">
        <f aca="false">_xlfn.MAXIFS($Q$2:Q19,$B$2:B19,B19,$C$2:C19,C19)</f>
        <v>14950</v>
      </c>
      <c r="T19" s="5" t="n">
        <f aca="false">_xlfn.MINIFS($Q$2:Q19,$B$2:B19,B19,$C$2:C19,C19)</f>
        <v>13500</v>
      </c>
      <c r="U19" s="5" t="str">
        <f aca="false">IF(R19&lt;1,"Day 1 - building history",IF(Q19&gt;=S19,TEXT(ROUND(R19,0),"0")&amp;"-wk high (since tracking began)",IF(Q19&lt;=T19,TEXT(ROUND(R19,0),"0")&amp;"-wk low (since tracking began)",TEXT(ROUND(R19,0),"0")&amp;"-wk range, mid-range")))</f>
        <v>4-wk range, mid-range</v>
      </c>
      <c r="V19" s="5" t="n">
        <f aca="false">Q19/50/K19</f>
        <v>3.02133246970131</v>
      </c>
      <c r="W19" s="5" t="n">
        <f aca="false">IF(B19="Arabica",H19/100/0.45359237,H19/1000)</f>
        <v>6.89165031589927</v>
      </c>
      <c r="X19" s="5" t="str">
        <f aca="false">IF(AND((A19-_xlfn.MINIFS($A$2:A19,$B$2:B19,B19,$C$2:C19,C19))&gt;=180,Q19&lt;=_xlfn.MINIFS($Q$2:Q19,$B$2:B19,B19,$C$2:C19,C19,$A$2:A19,"&gt;="&amp;(A19-180))),"6-MONTH LOW - historically cheap, safer to buy",IF(AND((A19-_xlfn.MINIFS($A$2:A19,$B$2:B19,B19,$C$2:C19,C19))&gt;=180,Q19&gt;=_xlfn.MAXIFS($Q$2:Q19,$B$2:B19,B19,$C$2:C19,C19,$A$2:A19,"&gt;="&amp;(A19-180))),"6-MONTH HIGH - historically expensive, riskier to buy",IF(AND((A19-_xlfn.MINIFS($A$2:A19,$B$2:B19,B19,$C$2:C19,C19))&gt;=90,Q19&lt;=_xlfn.MINIFS($Q$2:Q19,$B$2:B19,B19,$C$2:C19,C19,$A$2:A19,"&gt;="&amp;(A19-90))),"3-MONTH LOW - historically cheap, safer to buy",IF(AND((A19-_xlfn.MINIFS($A$2:A19,$B$2:B19,B19,$C$2:C19,C19))&gt;=90,Q19&gt;=_xlfn.MAXIFS($Q$2:Q19,$B$2:B19,B19,$C$2:C19,C19,$A$2:A19,"&gt;="&amp;(A19-90))),"3-MONTH HIGH - historically expensive, riskier to buy",IF((A19-_xlfn.MINIFS($A$2:A19,$B$2:B19,B19,$C$2:C19,C19))&gt;=90,"within 3/6-month range","N/A - insufficient history yet (need 90+ days)")))))</f>
        <v>N/A - insufficient history yet (need 90+ days)</v>
      </c>
      <c r="Y19" s="5" t="n">
        <f aca="false">V19/IF(B19="Arabica",IF(ISNUMBER(SEARCH("Parchment",C19)),0.8,0.48),IF(ISNUMBER(SEARCH("Parchment",C19)),0.82,0.5))</f>
        <v>6.29444264521107</v>
      </c>
      <c r="Z19" s="5" t="str">
        <f aca="false">IF(B19="Arabica",IF(ISNUMBER(SEARCH("Parchment",C19)),"80%","48%"),IF(ISNUMBER(SEARCH("Parchment",C19)),"82%","50%"))</f>
        <v>48%</v>
      </c>
      <c r="AA19" s="13" t="str">
        <f aca="false">IF(B19="Arabica",IF(ISNUMBER(SEARCH("Parchment",C19)),"Arabica Plantation (estimated milled)","Arabica Cherry (estimated milled)"),IF(ISNUMBER(SEARCH("Parchment",C19)),"Robusta Parchment (estimated milled)","Robusta Cherry (estimated milled)"))</f>
        <v>Arabica Cherry (estimated milled)</v>
      </c>
    </row>
    <row r="20" customFormat="false" ht="15" hidden="false" customHeight="true" outlineLevel="0" collapsed="false">
      <c r="A20" s="14" t="n">
        <v>46219</v>
      </c>
      <c r="B20" s="5" t="s">
        <v>50</v>
      </c>
      <c r="C20" s="5" t="s">
        <v>51</v>
      </c>
      <c r="D20" s="10" t="n">
        <v>18000</v>
      </c>
      <c r="E20" s="10" t="n">
        <v>18500</v>
      </c>
      <c r="F20" s="5" t="s">
        <v>44</v>
      </c>
      <c r="G20" s="5" t="s">
        <v>45</v>
      </c>
      <c r="H20" s="10" t="n">
        <v>3797</v>
      </c>
      <c r="I20" s="5" t="s">
        <v>52</v>
      </c>
      <c r="J20" s="10" t="n">
        <v>67.4743</v>
      </c>
      <c r="K20" s="10" t="n">
        <v>96.6461</v>
      </c>
      <c r="L20" s="5" t="n">
        <f aca="false">((AVERAGE(D20:E20)/50/J20)/(IF(B20="Arabica",IF(ISNUMBER(SEARCH("Parchment",C20)),0.8,0.48),IF(ISNUMBER(SEARCH("Parchment",C20)),0.82,0.5))))*(1+Assumptions!$B$6)+Assumptions!$B$5+Assumptions!$B$7+Assumptions!$B$8+((AVERAGE(D20:E20)/50/J20)/(IF(B20="Arabica",IF(ISNUMBER(SEARCH("Parchment",C20)),0.8,0.48),IF(ISNUMBER(SEARCH("Parchment",C20)),0.82,0.5))))*Assumptions!$B$9</f>
        <v>8.5183858584206</v>
      </c>
      <c r="M20" s="11"/>
      <c r="N20" s="11"/>
      <c r="O20" s="11"/>
      <c r="P20" s="7" t="s">
        <v>60</v>
      </c>
      <c r="Q20" s="5" t="n">
        <f aca="false">AVERAGE(D20:E20)</f>
        <v>18250</v>
      </c>
      <c r="R20" s="12" t="n">
        <f aca="false">(A20-_xlfn.MINIFS($A$2:A20,$B$2:B20,B20,$C$2:C20,C20))/7</f>
        <v>4</v>
      </c>
      <c r="S20" s="5" t="n">
        <f aca="false">_xlfn.MAXIFS($Q$2:Q20,$B$2:B20,B20,$C$2:C20,C20)</f>
        <v>18250</v>
      </c>
      <c r="T20" s="5" t="n">
        <f aca="false">_xlfn.MINIFS($Q$2:Q20,$B$2:B20,B20,$C$2:C20,C20)</f>
        <v>18000</v>
      </c>
      <c r="U20" s="5" t="str">
        <f aca="false">IF(R20&lt;1,"Day 1 - building history",IF(Q20&gt;=S20,TEXT(ROUND(R20,0),"0")&amp;"-wk high (since tracking began)",IF(Q20&lt;=T20,TEXT(ROUND(R20,0),"0")&amp;"-wk low (since tracking began)",TEXT(ROUND(R20,0),"0")&amp;"-wk range, mid-range")))</f>
        <v>4-wk high (since tracking began)</v>
      </c>
      <c r="V20" s="5" t="n">
        <f aca="false">Q20/50/K20</f>
        <v>3.77666558712664</v>
      </c>
      <c r="W20" s="5" t="n">
        <f aca="false">IF(B20="Arabica",H20/100/0.45359237,H20/1000)</f>
        <v>3.797</v>
      </c>
      <c r="X20" s="5" t="str">
        <f aca="false">IF(AND((A20-_xlfn.MINIFS($A$2:A20,$B$2:B20,B20,$C$2:C20,C20))&gt;=180,Q20&lt;=_xlfn.MINIFS($Q$2:Q20,$B$2:B20,B20,$C$2:C20,C20,$A$2:A20,"&gt;="&amp;(A20-180))),"6-MONTH LOW - historically cheap, safer to buy",IF(AND((A20-_xlfn.MINIFS($A$2:A20,$B$2:B20,B20,$C$2:C20,C20))&gt;=180,Q20&gt;=_xlfn.MAXIFS($Q$2:Q20,$B$2:B20,B20,$C$2:C20,C20,$A$2:A20,"&gt;="&amp;(A20-180))),"6-MONTH HIGH - historically expensive, riskier to buy",IF(AND((A20-_xlfn.MINIFS($A$2:A20,$B$2:B20,B20,$C$2:C20,C20))&gt;=90,Q20&lt;=_xlfn.MINIFS($Q$2:Q20,$B$2:B20,B20,$C$2:C20,C20,$A$2:A20,"&gt;="&amp;(A20-90))),"3-MONTH LOW - historically cheap, safer to buy",IF(AND((A20-_xlfn.MINIFS($A$2:A20,$B$2:B20,B20,$C$2:C20,C20))&gt;=90,Q20&gt;=_xlfn.MAXIFS($Q$2:Q20,$B$2:B20,B20,$C$2:C20,C20,$A$2:A20,"&gt;="&amp;(A20-90))),"3-MONTH HIGH - historically expensive, riskier to buy",IF((A20-_xlfn.MINIFS($A$2:A20,$B$2:B20,B20,$C$2:C20,C20))&gt;=90,"within 3/6-month range","N/A - insufficient history yet (need 90+ days)")))))</f>
        <v>N/A - insufficient history yet (need 90+ days)</v>
      </c>
      <c r="Y20" s="5" t="n">
        <f aca="false">V20/IF(B20="Arabica",IF(ISNUMBER(SEARCH("Parchment",C20)),0.8,0.48),IF(ISNUMBER(SEARCH("Parchment",C20)),0.82,0.5))</f>
        <v>4.60568974039834</v>
      </c>
      <c r="Z20" s="5" t="str">
        <f aca="false">IF(B20="Arabica",IF(ISNUMBER(SEARCH("Parchment",C20)),"80%","48%"),IF(ISNUMBER(SEARCH("Parchment",C20)),"82%","50%"))</f>
        <v>82%</v>
      </c>
      <c r="AA20" s="13" t="str">
        <f aca="false">IF(B20="Arabica",IF(ISNUMBER(SEARCH("Parchment",C20)),"Arabica Plantation (estimated milled)","Arabica Cherry (estimated milled)"),IF(ISNUMBER(SEARCH("Parchment",C20)),"Robusta Parchment (estimated milled)","Robusta Cherry (estimated milled)"))</f>
        <v>Robusta Parchment (estimated milled)</v>
      </c>
    </row>
    <row r="21" customFormat="false" ht="15" hidden="false" customHeight="true" outlineLevel="0" collapsed="false">
      <c r="A21" s="14" t="n">
        <v>46219</v>
      </c>
      <c r="B21" s="5" t="s">
        <v>50</v>
      </c>
      <c r="C21" s="5" t="s">
        <v>53</v>
      </c>
      <c r="D21" s="10" t="n">
        <v>10200</v>
      </c>
      <c r="E21" s="10" t="n">
        <v>11000</v>
      </c>
      <c r="F21" s="5" t="s">
        <v>44</v>
      </c>
      <c r="G21" s="5" t="s">
        <v>45</v>
      </c>
      <c r="H21" s="10" t="n">
        <v>3797</v>
      </c>
      <c r="I21" s="5" t="s">
        <v>52</v>
      </c>
      <c r="J21" s="10" t="n">
        <v>67.4743</v>
      </c>
      <c r="K21" s="10" t="n">
        <v>96.6461</v>
      </c>
      <c r="L21" s="5" t="n">
        <f aca="false">((AVERAGE(D21:E21)/50/J21)/(IF(B21="Arabica",IF(ISNUMBER(SEARCH("Parchment",C21)),0.8,0.48),IF(ISNUMBER(SEARCH("Parchment",C21)),0.82,0.5))))*(1+Assumptions!$B$6)+Assumptions!$B$5+Assumptions!$B$7+Assumptions!$B$8+((AVERAGE(D21:E21)/50/J21)/(IF(B21="Arabica",IF(ISNUMBER(SEARCH("Parchment",C21)),0.8,0.48),IF(ISNUMBER(SEARCH("Parchment",C21)),0.82,0.5))))*Assumptions!$B$9</f>
        <v>8.15213258974158</v>
      </c>
      <c r="M21" s="11"/>
      <c r="N21" s="11"/>
      <c r="O21" s="11"/>
      <c r="P21" s="7" t="s">
        <v>59</v>
      </c>
      <c r="Q21" s="5" t="n">
        <f aca="false">AVERAGE(D21:E21)</f>
        <v>10600</v>
      </c>
      <c r="R21" s="12" t="n">
        <f aca="false">(A21-_xlfn.MINIFS($A$2:A21,$B$2:B21,B21,$C$2:C21,C21))/7</f>
        <v>4</v>
      </c>
      <c r="S21" s="5" t="n">
        <f aca="false">_xlfn.MAXIFS($Q$2:Q21,$B$2:B21,B21,$C$2:C21,C21)</f>
        <v>10600</v>
      </c>
      <c r="T21" s="5" t="n">
        <f aca="false">_xlfn.MINIFS($Q$2:Q21,$B$2:B21,B21,$C$2:C21,C21)</f>
        <v>9800</v>
      </c>
      <c r="U21" s="5" t="str">
        <f aca="false">IF(R21&lt;1,"Day 1 - building history",IF(Q21&gt;=S21,TEXT(ROUND(R21,0),"0")&amp;"-wk high (since tracking began)",IF(Q21&lt;=T21,TEXT(ROUND(R21,0),"0")&amp;"-wk low (since tracking began)",TEXT(ROUND(R21,0),"0")&amp;"-wk range, mid-range")))</f>
        <v>4-wk high (since tracking began)</v>
      </c>
      <c r="V21" s="5" t="n">
        <f aca="false">Q21/50/K21</f>
        <v>2.1935701492352</v>
      </c>
      <c r="W21" s="5" t="n">
        <f aca="false">IF(B21="Arabica",H21/100/0.45359237,H21/1000)</f>
        <v>3.797</v>
      </c>
      <c r="X21" s="5" t="str">
        <f aca="false">IF(AND((A21-_xlfn.MINIFS($A$2:A21,$B$2:B21,B21,$C$2:C21,C21))&gt;=180,Q21&lt;=_xlfn.MINIFS($Q$2:Q21,$B$2:B21,B21,$C$2:C21,C21,$A$2:A21,"&gt;="&amp;(A21-180))),"6-MONTH LOW - historically cheap, safer to buy",IF(AND((A21-_xlfn.MINIFS($A$2:A21,$B$2:B21,B21,$C$2:C21,C21))&gt;=180,Q21&gt;=_xlfn.MAXIFS($Q$2:Q21,$B$2:B21,B21,$C$2:C21,C21,$A$2:A21,"&gt;="&amp;(A21-180))),"6-MONTH HIGH - historically expensive, riskier to buy",IF(AND((A21-_xlfn.MINIFS($A$2:A21,$B$2:B21,B21,$C$2:C21,C21))&gt;=90,Q21&lt;=_xlfn.MINIFS($Q$2:Q21,$B$2:B21,B21,$C$2:C21,C21,$A$2:A21,"&gt;="&amp;(A21-90))),"3-MONTH LOW - historically cheap, safer to buy",IF(AND((A21-_xlfn.MINIFS($A$2:A21,$B$2:B21,B21,$C$2:C21,C21))&gt;=90,Q21&gt;=_xlfn.MAXIFS($Q$2:Q21,$B$2:B21,B21,$C$2:C21,C21,$A$2:A21,"&gt;="&amp;(A21-90))),"3-MONTH HIGH - historically expensive, riskier to buy",IF((A21-_xlfn.MINIFS($A$2:A21,$B$2:B21,B21,$C$2:C21,C21))&gt;=90,"within 3/6-month range","N/A - insufficient history yet (need 90+ days)")))))</f>
        <v>N/A - insufficient history yet (need 90+ days)</v>
      </c>
      <c r="Y21" s="5" t="n">
        <f aca="false">V21/IF(B21="Arabica",IF(ISNUMBER(SEARCH("Parchment",C21)),0.8,0.48),IF(ISNUMBER(SEARCH("Parchment",C21)),0.82,0.5))</f>
        <v>4.3871402984704</v>
      </c>
      <c r="Z21" s="5" t="str">
        <f aca="false">IF(B21="Arabica",IF(ISNUMBER(SEARCH("Parchment",C21)),"80%","48%"),IF(ISNUMBER(SEARCH("Parchment",C21)),"82%","50%"))</f>
        <v>50%</v>
      </c>
      <c r="AA21" s="13" t="str">
        <f aca="false">IF(B21="Arabica",IF(ISNUMBER(SEARCH("Parchment",C21)),"Arabica Plantation (estimated milled)","Arabica Cherry (estimated milled)"),IF(ISNUMBER(SEARCH("Parchment",C21)),"Robusta Parchment (estimated milled)","Robusta Cherry (estimated milled)"))</f>
        <v>Robusta Cherry (estimated milled)</v>
      </c>
    </row>
  </sheetData>
  <conditionalFormatting sqref="X2:X21">
    <cfRule type="expression" priority="2" aboveAverage="0" equalAverage="0" bottom="0" percent="0" rank="0" text="" dxfId="0">
      <formula>ISNUMBER(SEARCH("LOW",X2))</formula>
    </cfRule>
    <cfRule type="expression" priority="3" aboveAverage="0" equalAverage="0" bottom="0" percent="0" rank="0" text="" dxfId="1">
      <formula>ISNUMBER(SEARCH("HIGH",X2))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2" t="s">
        <v>61</v>
      </c>
    </row>
    <row r="2" customFormat="false" ht="15" hidden="false" customHeight="true" outlineLevel="0" collapsed="false">
      <c r="A2" s="15"/>
      <c r="B2" s="15"/>
      <c r="C2" s="15"/>
      <c r="D2" s="15"/>
      <c r="E2" s="15"/>
      <c r="F2" s="15"/>
    </row>
    <row r="3" customFormat="false" ht="15" hidden="false" customHeight="true" outlineLevel="0" collapsed="false">
      <c r="A3" s="15" t="s">
        <v>62</v>
      </c>
      <c r="B3" s="15"/>
      <c r="C3" s="15"/>
      <c r="D3" s="15"/>
      <c r="E3" s="15"/>
      <c r="F3" s="15"/>
    </row>
    <row r="4" customFormat="false" ht="15" hidden="false" customHeight="true" outlineLevel="0" collapsed="false">
      <c r="A4" s="15"/>
      <c r="B4" s="15"/>
      <c r="C4" s="15"/>
      <c r="D4" s="15"/>
      <c r="E4" s="15"/>
      <c r="F4" s="15"/>
    </row>
    <row r="5" customFormat="false" ht="15" hidden="false" customHeight="true" outlineLevel="0" collapsed="false">
      <c r="A5" s="15" t="s">
        <v>63</v>
      </c>
      <c r="B5" s="15"/>
      <c r="C5" s="15"/>
      <c r="D5" s="15"/>
      <c r="E5" s="15"/>
      <c r="F5" s="15"/>
    </row>
    <row r="6" customFormat="false" ht="15" hidden="false" customHeight="true" outlineLevel="0" collapsed="false">
      <c r="A6" s="15" t="s">
        <v>64</v>
      </c>
      <c r="B6" s="15"/>
      <c r="C6" s="15"/>
      <c r="D6" s="15"/>
      <c r="E6" s="15"/>
      <c r="F6" s="15"/>
    </row>
    <row r="7" customFormat="false" ht="15" hidden="false" customHeight="true" outlineLevel="0" collapsed="false">
      <c r="A7" s="15" t="s">
        <v>65</v>
      </c>
      <c r="B7" s="15"/>
      <c r="C7" s="15"/>
      <c r="D7" s="15"/>
      <c r="E7" s="15"/>
      <c r="F7" s="15"/>
    </row>
    <row r="8" customFormat="false" ht="15" hidden="false" customHeight="true" outlineLevel="0" collapsed="false">
      <c r="A8" s="15" t="s">
        <v>66</v>
      </c>
      <c r="B8" s="15"/>
      <c r="C8" s="15"/>
      <c r="D8" s="15"/>
      <c r="E8" s="15"/>
      <c r="F8" s="15"/>
    </row>
    <row r="9" customFormat="false" ht="15" hidden="false" customHeight="true" outlineLevel="0" collapsed="false">
      <c r="A9" s="15"/>
      <c r="B9" s="15"/>
      <c r="C9" s="15"/>
      <c r="D9" s="15"/>
      <c r="E9" s="15"/>
      <c r="F9" s="15"/>
    </row>
    <row r="10" customFormat="false" ht="15" hidden="false" customHeight="true" outlineLevel="0" collapsed="false">
      <c r="A10" s="15" t="s">
        <v>67</v>
      </c>
      <c r="B10" s="15"/>
      <c r="C10" s="15"/>
      <c r="D10" s="15"/>
      <c r="E10" s="15"/>
      <c r="F10" s="15"/>
    </row>
    <row r="11" customFormat="false" ht="15" hidden="false" customHeight="true" outlineLevel="0" collapsed="false">
      <c r="A11" s="15" t="s">
        <v>68</v>
      </c>
      <c r="B11" s="15"/>
      <c r="C11" s="15"/>
      <c r="D11" s="15"/>
      <c r="E11" s="15"/>
      <c r="F11" s="15"/>
    </row>
    <row r="12" customFormat="false" ht="15" hidden="false" customHeight="true" outlineLevel="0" collapsed="false">
      <c r="A12" s="15" t="s">
        <v>69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15" t="s">
        <v>70</v>
      </c>
      <c r="B13" s="15"/>
      <c r="C13" s="15"/>
      <c r="D13" s="15"/>
      <c r="E13" s="15"/>
      <c r="F13" s="15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true" outlineLevel="0" collapsed="false">
      <c r="A15" s="15" t="s">
        <v>71</v>
      </c>
      <c r="B15" s="15"/>
      <c r="C15" s="15"/>
      <c r="D15" s="15"/>
      <c r="E15" s="15"/>
      <c r="F15" s="15"/>
    </row>
  </sheetData>
  <mergeCells count="14"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2026-07-18T12:12:53Z</dcterms:created>
  <dc:creator>openpyxl</dc:creator>
  <dc:description/>
  <dc:language>en-US</dc:language>
  <cp:lastModifiedBy/>
  <dcterms:modified xsi:type="dcterms:W3CDTF">2026-07-18T13:50:09Z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